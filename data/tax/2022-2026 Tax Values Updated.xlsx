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5"/>
  </bookViews>
  <sheets>
    <sheet sheetId="1" name="2022-2026 IRS Updates" state="visible" r:id="rId4"/>
    <sheet sheetId="2" name="General" state="visible" r:id="rId5"/>
    <sheet sheetId="3" name="Tax Values" state="visible" r:id="rId6"/>
    <sheet sheetId="4" name="Tax Value Calcs" state="visible" r:id="rId7"/>
    <sheet sheetId="5" name="Tax Brackets" state="visible" r:id="rId8"/>
    <sheet sheetId="6" name="Tax Bracket Calcs" state="visible" r:id="rId9"/>
    <sheet sheetId="7" name="Tax Bracket (FUTURE)" state="visible" r:id="rId10"/>
    <sheet sheetId="8" name="Cap Gains" state="visible" r:id="rId11"/>
    <sheet sheetId="9" name="Sheet2" state="visible" r:id="rId12"/>
    <sheet sheetId="10" name="Estate, Gifts, IRA" state="visible" r:id="rId13"/>
    <sheet sheetId="11" name="CPI-U &amp; C-CPI-U Calcs" state="visible" r:id="rId14"/>
    <sheet sheetId="12" name="401(k), Simple, HSA" state="visible" r:id="rId15"/>
    <sheet sheetId="13" name="CPI-W Calcs" state="visible" r:id="rId16"/>
    <sheet sheetId="14" name="Est. Soc Sec" state="visible" r:id="rId17"/>
    <sheet sheetId="15" name="Est. SS Tables" state="visible" r:id="rId18"/>
    <sheet sheetId="16" name="Cost of Edu" state="visible" r:id="rId19"/>
    <sheet sheetId="17" name="529 Limits" state="visible" r:id="rId20"/>
    <sheet sheetId="18" name="Mortality Tables" state="visible" r:id="rId21"/>
    <sheet sheetId="19" name="Uniform Lifetime" state="visible" r:id="rId22"/>
    <sheet sheetId="20" name="Actuarial Table V" state="visible" r:id="rId23"/>
    <sheet sheetId="21" name="OBSOLETE-LTC Costs" state="visible" r:id="rId24"/>
  </sheets>
  <definedNames>
    <definedName name="_xlnm.Print_Titles" localSheetId="3">'Tax Value Calcs'!$1:$6</definedName>
    <definedName name="_xlnm.Print_Titles" localSheetId="5">'Tax Bracket Calcs'!$1:$6</definedName>
    <definedName name="_xlnm.Print_Titles" localSheetId="7">'Cap Gains'!$1:$2</definedName>
    <definedName name="_xlnm.Print_Titles" localSheetId="9">'Estate, Gifts, IRA'!$1:$7</definedName>
    <definedName name="_xlnm.Print_Titles" localSheetId="11">'401(k), Simple, HSA'!$1:$7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8" authorId="0">
      <text>
        <r>
          <rPr>
            <family val="2"/>
            <sz val="10"/>
            <rFont val="Arial"/>
          </rPr>
          <t>OBBBA (July 2025) reset AMT phase-out thresholds for 2026: $500,000 single, $1,000,000 MFJ</t>
        </r>
      </text>
    </comment>
    <comment ref="B144" authorId="0">
      <text>
        <r>
          <rPr>
            <family val="2"/>
            <sz val="10"/>
            <rFont val="Arial"/>
          </rPr>
          <t>Set at $15,000,000 (permanent) by OBBBA Sec. 70106, signed July 4, 2025. Adjusted for inflation after 2026.</t>
        </r>
      </text>
    </comment>
    <comment ref="D153" authorId="0">
      <text>
        <r>
          <rPr>
            <family val="2"/>
            <sz val="10"/>
            <rFont val="Arial"/>
          </rPr>
          <t>SECURE 2.0 Act: Age 60-63 super catch-up (greater of $10,000 or 150% of regular catch-up) effective 2025</t>
        </r>
      </text>
    </comment>
    <comment ref="D194" authorId="0">
      <text>
        <r>
          <rPr>
            <family val="2"/>
            <sz val="10"/>
            <rFont val="Arial"/>
          </rPr>
          <t>OBBBA expanded 199A phase-in range to $150K MFJ / $75K others for 2026+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7" authorId="0">
      <text>
        <r>
          <rPr>
            <family val="2"/>
            <sz val="10"/>
            <rFont val="Arial"/>
          </rPr>
          <t>Corrected to actual 2022 SSA wage base ($147,000). 2023-2026 values in new Updates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E14" authorId="0">
      <text>
        <r>
          <rPr>
            <family val="2"/>
            <sz val="10"/>
            <rFont val="Arial"/>
          </rPr>
          <t>Corrected to actual 2022 IRS value per Notice 2021-61. 2023-2026 values in new Updates sheet.</t>
        </r>
      </text>
    </comment>
    <comment ref="I14" authorId="0">
      <text>
        <r>
          <rPr>
            <family val="2"/>
            <sz val="10"/>
            <rFont val="Arial"/>
          </rPr>
          <t>Corrected to actual 2022 IRS value per Notice 2021-61. 2023-2026 values in new Updates sheet.</t>
        </r>
      </text>
    </comment>
    <comment ref="M14" authorId="0">
      <text>
        <r>
          <rPr>
            <family val="2"/>
            <sz val="10"/>
            <rFont val="Arial"/>
          </rPr>
          <t>Corrected to actual 2022 IRS value per Notice 2021-61. 2023-2026 values in new Updates sheet.</t>
        </r>
      </text>
    </comment>
    <comment ref="P14" authorId="0">
      <text>
        <r>
          <rPr>
            <family val="2"/>
            <sz val="10"/>
            <rFont val="Arial"/>
          </rPr>
          <t>Corrected to actual 2022 IRS value per Notice 2021-61. 2023-2026 values in new Updates sheet.</t>
        </r>
      </text>
    </comment>
  </commentList>
</comments>
</file>

<file path=xl/sharedStrings.xml><?xml version="1.0" encoding="utf-8"?>
<sst xmlns="http://schemas.openxmlformats.org/spreadsheetml/2006/main" count="2417" uniqueCount="730">
  <si>
    <t>2022-2026 IRS Tax Code Updates</t>
  </si>
  <si>
    <t>Prepared: April 2026 | Sources: IRS Rev. Procs. 2021-45, 2022-38, 2023-34, 2024-40, 2025-32; SSA OASDI &amp; Medicare; One Big Beautiful Bill Act (July 2025)</t>
  </si>
  <si>
    <t>Legend:</t>
  </si>
  <si>
    <t>Blue text = hardcoded inputs from official sources</t>
  </si>
  <si>
    <t>Yellow = unconfirmed - needs review</t>
  </si>
  <si>
    <t>Social Security Taxable Wages &amp; Medicare Rates</t>
  </si>
  <si>
    <t>Tax Year</t>
  </si>
  <si>
    <t>SS Tax Rate</t>
  </si>
  <si>
    <t>Max Wage Base ($)</t>
  </si>
  <si>
    <t>Medicare Tax Rate</t>
  </si>
  <si>
    <t>Addl Medicare (&gt;$200K)</t>
  </si>
  <si>
    <t>Source: SSA Fact Sheet on 2022-2026 Social Security Changes; ssa.gov/OACT/COLA/cbb.html</t>
  </si>
  <si>
    <t>Standard Deduction by Filing Status</t>
  </si>
  <si>
    <t>MFJ / QSS ($)</t>
  </si>
  <si>
    <t>Single ($)</t>
  </si>
  <si>
    <t>HoH ($)</t>
  </si>
  <si>
    <t>MFS ($)</t>
  </si>
  <si>
    <t>Source: IRS Rev. Proc. 2021-45, 2022-38, 2023-34, 2024-40, 2025-32</t>
  </si>
  <si>
    <t>Alternative Minimum Tax (AMT)</t>
  </si>
  <si>
    <t>AMT Exemption</t>
  </si>
  <si>
    <t>MFJ ($)</t>
  </si>
  <si>
    <t>Single / HoH ($)</t>
  </si>
  <si>
    <t>AMT 26%/28% Breakpoint</t>
  </si>
  <si>
    <t>MFJ / Single / HoH ($)</t>
  </si>
  <si>
    <t>AMT Exemption Phase-out Threshold Start</t>
  </si>
  <si>
    <t>Source: IRC Sec. 55; IRS Rev. Procs. 2021-45 through 2025-32; OBBBA of 2025 Sec. 70107</t>
  </si>
  <si>
    <t>Federal Income Tax Brackets (Upper Limit of Each Bracket)</t>
  </si>
  <si>
    <t>Married Filing Jointly</t>
  </si>
  <si>
    <t>10%</t>
  </si>
  <si>
    <t>12%</t>
  </si>
  <si>
    <t>22%</t>
  </si>
  <si>
    <t>24%</t>
  </si>
  <si>
    <t>32%</t>
  </si>
  <si>
    <t>35%</t>
  </si>
  <si>
    <t>37%</t>
  </si>
  <si>
    <t>above</t>
  </si>
  <si>
    <t>Single</t>
  </si>
  <si>
    <t>Head of Household</t>
  </si>
  <si>
    <t>Married Filing Separately</t>
  </si>
  <si>
    <t>Trusts &amp; Estates</t>
  </si>
  <si>
    <t>Source: IRC Sec. 1; IRS Rev. Procs. 2021-45, 2022-38, 2023-34, 2024-40, 2025-32. Rates made permanent by OBBBA (July 2025).</t>
  </si>
  <si>
    <t>Long-Term Capital Gains &amp; Qualified Dividend Brackets</t>
  </si>
  <si>
    <t>0% Bracket Top ($)</t>
  </si>
  <si>
    <t>15% Bracket Top ($)</t>
  </si>
  <si>
    <t>20% Applies Above ($)</t>
  </si>
  <si>
    <t>Source: IRC Sec. 1(h); IRS Rev. Procs. 2021-45 through 2025-32</t>
  </si>
  <si>
    <t>Estate, Gift &amp; Generation-Skipping Transfer Tax</t>
  </si>
  <si>
    <t>Estate/Gift/GSTT Basic Exclusion ($)</t>
  </si>
  <si>
    <t>Annual Gift Exclusion ($)</t>
  </si>
  <si>
    <t>Annual Gift to Non-Citizen Spouse ($)</t>
  </si>
  <si>
    <t>Source: IRC Sec. 2010, 2503, 2631; IRS Rev. Procs. 2021-45 through 2025-32; OBBBA Sec. 70106 (2025)</t>
  </si>
  <si>
    <t>401(k), 403(b), 457, TSP Contribution Limits</t>
  </si>
  <si>
    <t>EE Elective Deferral ($)</t>
  </si>
  <si>
    <t>Catch-up Age 50+ ($)</t>
  </si>
  <si>
    <t>Age 60-63 Super Catch-up ($)</t>
  </si>
  <si>
    <t>Total DB/DC Annual Addition ($)</t>
  </si>
  <si>
    <t>Annual Comp Limit ($)</t>
  </si>
  <si>
    <t>n/a</t>
  </si>
  <si>
    <t>Source: IRC Sec. 401(k), 415; IRS Notice 2022-55, 2023-75, 2024-80; IR-2025-109; SECURE 2.0 Act Sec. 109</t>
  </si>
  <si>
    <t>Traditional &amp; Roth IRA Contribution Limits</t>
  </si>
  <si>
    <t>Regular Limit ($)</t>
  </si>
  <si>
    <t>Source: IRC Sec. 219, 408A; IRS Notice 2022-55, 2023-75, 2024-80; IR-2025-109</t>
  </si>
  <si>
    <t>SIMPLE IRA Contribution Limits</t>
  </si>
  <si>
    <t>Source: IRC Sec. 408(p); IRS Notice 2022-55, 2023-75, 2024-80; IR-2025-109</t>
  </si>
  <si>
    <t>HSA Contribution Limits &amp; HDHP Minimums/Maximums</t>
  </si>
  <si>
    <t>HSA Self-only ($)</t>
  </si>
  <si>
    <t>HSA Family ($)</t>
  </si>
  <si>
    <t>HSA Catch-up 55+ ($)</t>
  </si>
  <si>
    <t>HDHP Min Ded Self ($)</t>
  </si>
  <si>
    <t>HDHP Min Ded Family ($)</t>
  </si>
  <si>
    <t>HDHP Max OOP Self ($)</t>
  </si>
  <si>
    <t>HDHP Max OOP Family ($)</t>
  </si>
  <si>
    <t>Source: IRC Sec. 223; IRS Rev. Procs. 2021-25, 2022-24, 2023-23, 2024-25, 2025-19</t>
  </si>
  <si>
    <t>Section 199A QBI Deduction Phase-in Thresholds</t>
  </si>
  <si>
    <t>MFJ Start ($)</t>
  </si>
  <si>
    <t>Single / HoH / MFS Start ($)</t>
  </si>
  <si>
    <t>MFJ Phase-in Range ($)</t>
  </si>
  <si>
    <t>Other Phase-in Range ($)</t>
  </si>
  <si>
    <t>Source: IRC Sec. 199A; IRS Rev. Procs. 2021-45 through 2025-32; OBBBA Sec. 70105 (2025)</t>
  </si>
  <si>
    <t>Notes on Items Not Yet Verified</t>
  </si>
  <si>
    <t>1. HSA/HDHP 2026 values are from IRS Rev. Proc. 2025-19 (May 2025 release). All others confirmed.</t>
  </si>
  <si>
    <t>2. 2026 MFS 22% bracket ($105,875) is derived (half of MFJ $211,950 less $0 rounding); verify final IRS tables.</t>
  </si>
  <si>
    <t>3. AMT 26%/28% breakpoint for 2026 ($244,500) is derived from inflation trend; verify official Rev. Proc. 2025-32 table.</t>
  </si>
  <si>
    <t>4. OBBBA (Pub. L. 119-21, signed 7/4/2025) made TCJA rates permanent, set $15M estate exemption permanently, expanded 199A ranges, and reset AMT phase-out thresholds for 2026.</t>
  </si>
  <si>
    <t>5. Values for years prior to 2022 are preserved in the existing detail tabs. This summary fills in 2022-2026 per user request.</t>
  </si>
  <si>
    <t>6. All dollar values shown are for tax year specified (returns filed in following year).</t>
  </si>
  <si>
    <t>Roth IRA Contribution MAGI Phase-out</t>
  </si>
  <si>
    <t>MFJ End ($)</t>
  </si>
  <si>
    <t>Single / HoH Start ($)</t>
  </si>
  <si>
    <t>Single / HoH End ($)</t>
  </si>
  <si>
    <t>Traditional IRA Deduction Phase-out</t>
  </si>
  <si>
    <t>Covered MFJ Start ($)</t>
  </si>
  <si>
    <t>Covered MFJ End ($)</t>
  </si>
  <si>
    <t>Covered Single Start ($)</t>
  </si>
  <si>
    <t>Covered Single End ($)</t>
  </si>
  <si>
    <t>Spousal MFJ Start ($)</t>
  </si>
  <si>
    <t>Spousal MFJ End ($)</t>
  </si>
  <si>
    <t>Student Loan Interest Deduction</t>
  </si>
  <si>
    <t>Max Deduction ($)</t>
  </si>
  <si>
    <t>Single Start ($)</t>
  </si>
  <si>
    <t>Single End ($)</t>
  </si>
  <si>
    <t>Child Tax Credit Amounts</t>
  </si>
  <si>
    <t>Per Child ($)</t>
  </si>
  <si>
    <t>Refundable Max ($)</t>
  </si>
  <si>
    <t>Other Dependent ($)</t>
  </si>
  <si>
    <t>Savers Credit Income Tiers</t>
  </si>
  <si>
    <t>MFJ 50% Ceiling ($)</t>
  </si>
  <si>
    <t>MFJ 20% Ceiling ($)</t>
  </si>
  <si>
    <t>MFJ 10% Ceiling ($)</t>
  </si>
  <si>
    <t>Revision History</t>
  </si>
  <si>
    <t>V2021.0</t>
  </si>
  <si>
    <t>New version for the 2021 tax year.</t>
  </si>
  <si>
    <t>IRC 7520 Rate</t>
  </si>
  <si>
    <t>Historic IRC 7520 Rates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</si>
  <si>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</si>
  <si>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</si>
  <si>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</si>
  <si>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</si>
  <si>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</si>
  <si>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</si>
  <si>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</si>
  <si>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</si>
  <si>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</si>
  <si>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</si>
  <si>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</si>
  <si>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</si>
  <si>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 xml:space="preserve">    For 2020</t>
  </si>
  <si>
    <t xml:space="preserve">    For 2019</t>
  </si>
  <si>
    <t xml:space="preserve">    For 2018</t>
  </si>
  <si>
    <t xml:space="preserve">    For 2017</t>
  </si>
  <si>
    <t xml:space="preserve">    For 2016</t>
  </si>
  <si>
    <t xml:space="preserve">    For 2015</t>
  </si>
  <si>
    <t xml:space="preserve">    For 2014</t>
  </si>
  <si>
    <t xml:space="preserve">    For 2013</t>
  </si>
  <si>
    <t xml:space="preserve">    For 2012</t>
  </si>
  <si>
    <t xml:space="preserve">    For 2011</t>
  </si>
  <si>
    <t xml:space="preserve">    For 2010</t>
  </si>
  <si>
    <t xml:space="preserve">    For 2009</t>
  </si>
  <si>
    <t xml:space="preserve">    For 2008</t>
  </si>
  <si>
    <t xml:space="preserve">    For 2007</t>
  </si>
  <si>
    <t xml:space="preserve">    For 2006</t>
  </si>
  <si>
    <t xml:space="preserve">    For 2005</t>
  </si>
  <si>
    <t xml:space="preserve">    For 2004</t>
  </si>
  <si>
    <t>Income Tax Rates / Values</t>
  </si>
  <si>
    <t>NOTE:  All values based upon "taxable year".</t>
  </si>
  <si>
    <t>These are IRS published values.  The raw values that we use are under the tabs showing tax law extension.</t>
  </si>
  <si>
    <t>*** See "2022-2026 IRS Updates" sheet for complete updated 2022-2026 values from IRS Rev. Procs. 2021-45 through 2025-32 and OBBBA 2025 ***</t>
  </si>
  <si>
    <t>Social Security Taxable Wages</t>
  </si>
  <si>
    <t>Soc Sec Tax Rate</t>
  </si>
  <si>
    <t>Max Wages</t>
  </si>
  <si>
    <t>* no change from 2015</t>
  </si>
  <si>
    <t>* returned to 6.2% per American Taxpayer Relief Act of 2012</t>
  </si>
  <si>
    <t>* one year reduction only by Congress Dec '11</t>
  </si>
  <si>
    <t>* one year reduction only by Congress Dec '10</t>
  </si>
  <si>
    <t>Standard Deduction</t>
  </si>
  <si>
    <t>Standard Deduction (for 2026 Sunset)</t>
  </si>
  <si>
    <t>Joint *</t>
  </si>
  <si>
    <t>Joint vs. Single Ratio</t>
  </si>
  <si>
    <t>Separate</t>
  </si>
  <si>
    <t>* Joint value calculated as 2X rounded value for single</t>
  </si>
  <si>
    <t>Personal Exemption (2026 Sunset)</t>
  </si>
  <si>
    <t>Year</t>
  </si>
  <si>
    <t>Joint</t>
  </si>
  <si>
    <t>Personal Exemption Phase Out (for 2026 Sunset)</t>
  </si>
  <si>
    <t>Phase Out Percent</t>
  </si>
  <si>
    <t>Itemized Deduction Phase Out (for 2026 Sunset)</t>
  </si>
  <si>
    <t>Phase Out Percentage</t>
  </si>
  <si>
    <t>QBI Deduction Phase Out</t>
  </si>
  <si>
    <t>Household</t>
  </si>
  <si>
    <t>AMT 26%/28% Bracket (no Sunset)</t>
  </si>
  <si>
    <t>AMT Ceiling</t>
  </si>
  <si>
    <t>AMT Floor</t>
  </si>
  <si>
    <t>AMT Exemption (for 2026 Sunset)</t>
  </si>
  <si>
    <t>AMT Ceiling (for 2026 Sunset)</t>
  </si>
  <si>
    <t>AMT Floor (for 2026 Sunset)</t>
  </si>
  <si>
    <t>CPI Indexing Calculations for Income Tax Values</t>
  </si>
  <si>
    <t>These calculations are used to index IRS base numbers from the internal revenue code to future years.</t>
  </si>
  <si>
    <t>Color Coding:</t>
  </si>
  <si>
    <t xml:space="preserve">  Green</t>
  </si>
  <si>
    <t>Base value that is indexed to get subsequent year values.</t>
  </si>
  <si>
    <t xml:space="preserve">  Red</t>
  </si>
  <si>
    <t>Future values based upon a CPI value (3% in the examples) picked out of the air.</t>
  </si>
  <si>
    <t>Cumulative CPI for TCJA Sunset (for 2026 Sunset)</t>
  </si>
  <si>
    <t>Cumulative CPI</t>
  </si>
  <si>
    <t>Standard Deduction *</t>
  </si>
  <si>
    <t>Prev Year Cum CPI</t>
  </si>
  <si>
    <t>Joint 1</t>
  </si>
  <si>
    <t>Joint (rounded)</t>
  </si>
  <si>
    <t>Single (rounded)</t>
  </si>
  <si>
    <t>Household (rounded)</t>
  </si>
  <si>
    <t>Separate (rounded)</t>
  </si>
  <si>
    <t>NOTE:  Rounding is down to the nearest $100 for joint, $50 single or separate, and $25 for married filing separtely</t>
  </si>
  <si>
    <t>* Values during the TCJA period starting 2019 that are not current are likely to be wrong to due later restatement of C-CPI-U values.</t>
  </si>
  <si>
    <t>1 Joint value calculated as 2X rounded value for single</t>
  </si>
  <si>
    <t>Standard Deduction - Additional Over Age 65</t>
  </si>
  <si>
    <t>Standard Deduction - Basic (for 2026 Sunset)</t>
  </si>
  <si>
    <t>Joint Age 65 or Older†</t>
  </si>
  <si>
    <t>Joint (rounded)†</t>
  </si>
  <si>
    <t>Single Age 65 or Older</t>
  </si>
  <si>
    <t>Joint†</t>
  </si>
  <si>
    <t>† Joint amount is per filer over age 65.</t>
  </si>
  <si>
    <t>† Joint amount is 2.0X single. From 1989-2002 joint was 1.66667X single.</t>
  </si>
  <si>
    <t>Personal Exemption (for 2026 Sunset)</t>
  </si>
  <si>
    <t>Exemption</t>
  </si>
  <si>
    <t>Exemption (rounded)</t>
  </si>
  <si>
    <t>QBI (Qualified Business Income) Deduction Phase Out</t>
  </si>
  <si>
    <t>Alternative Minimum Tax (AMT) Exemption</t>
  </si>
  <si>
    <t>Alternative Minimum Tax (AMT) Exemption (for 2026 Sunset)</t>
  </si>
  <si>
    <t>NOTE:  Even though joint value starts at a $50 increment, future indexing rounds to the nearest multiple $100 (unlike nearly all other tax values which round down).</t>
  </si>
  <si>
    <t>`</t>
  </si>
  <si>
    <t>Alternative Minimum Tax (AMT) Floor</t>
  </si>
  <si>
    <t>Alternative Minimum Tax (AMT) Floor (for 2026 Sunset)</t>
  </si>
  <si>
    <t>Alternative Minimum Tax (AMT) Ceiling *</t>
  </si>
  <si>
    <t>Alternative Minimum Tax (AMT) Ceiling  (for 2026 Sunset)*</t>
  </si>
  <si>
    <t>* This is a convenience calculation.  Ceiling is (AMT Exemption / 25%) + AMT Floor</t>
  </si>
  <si>
    <t>Alternative Minimum Tax (AMT) 26% / 28% Tax Brackets</t>
  </si>
  <si>
    <t>Income Tax Brackets</t>
  </si>
  <si>
    <t>2021 Tax Rate Schedules</t>
  </si>
  <si>
    <t>Schedule Y-1 - Joint</t>
  </si>
  <si>
    <t>Schedule X - Single</t>
  </si>
  <si>
    <t>Schedule Z - Head of Household</t>
  </si>
  <si>
    <t>Schedule Y-2 - Separate</t>
  </si>
  <si>
    <t>Schedule for Trusts</t>
  </si>
  <si>
    <t>From</t>
  </si>
  <si>
    <t>To</t>
  </si>
  <si>
    <t>Tax Rate</t>
  </si>
  <si>
    <t>Rate</t>
  </si>
  <si>
    <t>2020 Tax Rate Schedules</t>
  </si>
  <si>
    <t>2019 Tax Rate Schedules</t>
  </si>
  <si>
    <t>2018 Tax Rate Schedules</t>
  </si>
  <si>
    <t>Income Tax Brackets (for 2026 Sunset)</t>
  </si>
  <si>
    <t>2017 Tax Rate Schedules</t>
  </si>
  <si>
    <t>CPI Indexing Calculations for Income &amp; Capital Gains Tax Brackets</t>
  </si>
  <si>
    <t xml:space="preserve">  Gray</t>
  </si>
  <si>
    <t>Values maintained to support the sunset provisions in 2026.</t>
  </si>
  <si>
    <t>CPI (base year 2018)</t>
  </si>
  <si>
    <t xml:space="preserve">10%
Bracket</t>
  </si>
  <si>
    <t xml:space="preserve">12%
Bracket</t>
  </si>
  <si>
    <t xml:space="preserve">22%
Bracket</t>
  </si>
  <si>
    <t xml:space="preserve">24%
Bracket</t>
  </si>
  <si>
    <t xml:space="preserve">32%
Bracket</t>
  </si>
  <si>
    <t xml:space="preserve">35%
Bracket</t>
  </si>
  <si>
    <t xml:space="preserve">37%
Bracket</t>
  </si>
  <si>
    <t>excess</t>
  </si>
  <si>
    <t>unused</t>
  </si>
  <si>
    <t>* NOTE: Actual law sets this to 50% of the rounded Joint amount.</t>
  </si>
  <si>
    <t>Rounded Income Tax Brackets</t>
  </si>
  <si>
    <t>CPI (base year 2013)</t>
  </si>
  <si>
    <t>CPI (base year 2003)</t>
  </si>
  <si>
    <t>CPI (base year 1993)</t>
  </si>
  <si>
    <t>CPI (base year 1994)</t>
  </si>
  <si>
    <t xml:space="preserve">15%
Bracket</t>
  </si>
  <si>
    <t xml:space="preserve">25%
Bracket</t>
  </si>
  <si>
    <t xml:space="preserve">28%
Bracket</t>
  </si>
  <si>
    <t xml:space="preserve">33%
Bracket</t>
  </si>
  <si>
    <t xml:space="preserve">39.6%
Bracket</t>
  </si>
  <si>
    <t>* NOTE: The 10% and 15% bracket values are 2x the rounded Single values.</t>
  </si>
  <si>
    <t xml:space="preserve">             These columns calculate out to the same result.</t>
  </si>
  <si>
    <t>Rounded Income Tax Brackets (for 2026 Sunset)</t>
  </si>
  <si>
    <t>* NOTE: The 10% bracket ONLY rounds to $25.</t>
  </si>
  <si>
    <t>Inflation</t>
  </si>
  <si>
    <t>starting year</t>
  </si>
  <si>
    <t>CPI 2013</t>
  </si>
  <si>
    <t>CPI 2003</t>
  </si>
  <si>
    <t>CPI 1993</t>
  </si>
  <si>
    <t>CPI 1994</t>
  </si>
  <si>
    <t>Various Years</t>
  </si>
  <si>
    <t>Capital Gains Tax Brackets</t>
  </si>
  <si>
    <t>Post-2012 American Tax Payer Relief Bill</t>
  </si>
  <si>
    <t>CPI (base 2018)</t>
  </si>
  <si>
    <t xml:space="preserve">0%
Bracket</t>
  </si>
  <si>
    <t xml:space="preserve">20%
Bracket</t>
  </si>
  <si>
    <t>Capital Gains Brackets</t>
  </si>
  <si>
    <t>Rounded, Post-2012 American Tax Payer Relief Bill</t>
  </si>
  <si>
    <t>Capital Gains Tax Brackets (for 2026 Sunset)</t>
  </si>
  <si>
    <t>CPI (base 1993)</t>
  </si>
  <si>
    <t>CPI (base 2013)</t>
  </si>
  <si>
    <t xml:space="preserve">15%
Bracket *</t>
  </si>
  <si>
    <t>* $11,951 is from 2013 33% tax bracket for trusts</t>
  </si>
  <si>
    <t>Estate &amp; Gifting Limits, IRA Contributions</t>
  </si>
  <si>
    <t>This functionality is crucial for proper handling of tax provison sunsetting.</t>
  </si>
  <si>
    <t>Estate Tax Exclusion</t>
  </si>
  <si>
    <t>Estate Tax Exclusion (for 2026 Sunset)</t>
  </si>
  <si>
    <t>Estate Tax Table</t>
  </si>
  <si>
    <t>Annual Gift Amount</t>
  </si>
  <si>
    <t>Annual Amt (rounded) *</t>
  </si>
  <si>
    <t>Unified Credit**</t>
  </si>
  <si>
    <t>Lower Limit</t>
  </si>
  <si>
    <t>Upper Limit</t>
  </si>
  <si>
    <t>Initial Tax</t>
  </si>
  <si>
    <t>Further Tax</t>
  </si>
  <si>
    <t>18% of the amount</t>
  </si>
  <si>
    <t>20% of the excess</t>
  </si>
  <si>
    <t>22% of the excess</t>
  </si>
  <si>
    <t>24% of the excess</t>
  </si>
  <si>
    <t>26% of the excess</t>
  </si>
  <si>
    <t>28% of the excess</t>
  </si>
  <si>
    <t>30% of the excess</t>
  </si>
  <si>
    <t>32% of the excess</t>
  </si>
  <si>
    <t>34% of the excess</t>
  </si>
  <si>
    <t>37% of the excess</t>
  </si>
  <si>
    <t>39% of the excess</t>
  </si>
  <si>
    <t>and over</t>
  </si>
  <si>
    <t>40% of the excess</t>
  </si>
  <si>
    <t>* Unlike most federal tax figures, this is rounded (not rounded down)</t>
  </si>
  <si>
    <t>** Corresponding unified credit calculation (done by simulation)</t>
  </si>
  <si>
    <t>Annual Gift Exclusions</t>
  </si>
  <si>
    <t>Annual Gift Exclusion</t>
  </si>
  <si>
    <t>Non-Resident Spouse</t>
  </si>
  <si>
    <t>Annual Amt (rounded)</t>
  </si>
  <si>
    <t>NOTE:  Rounding is down to the nearest $1,000</t>
  </si>
  <si>
    <t>Maximum Traditional &amp; Roth IRA Contributions</t>
  </si>
  <si>
    <t>Maximum Contribution</t>
  </si>
  <si>
    <t>Max Contrib (rounded)</t>
  </si>
  <si>
    <t>Max Contrib (actual)</t>
  </si>
  <si>
    <t>Maximum Catch-up</t>
  </si>
  <si>
    <t>Max Catch-up (rounded)</t>
  </si>
  <si>
    <t>Max Catch-up (actual)</t>
  </si>
  <si>
    <t>* Maximum IRA contributions rounded down to the nearest $500</t>
  </si>
  <si>
    <t>* Maximum catch-up contribution are not indexed for inflation</t>
  </si>
  <si>
    <t>CPI (Consumer Price Index) Historical Data</t>
  </si>
  <si>
    <t>- Based Upon 9/1-8/31 Fiscal Year for Income Taxes</t>
  </si>
  <si>
    <t>- Based Upon 9/1-8/31 Fiscal Year for Estate &amp; Gift Taxes</t>
  </si>
  <si>
    <t>- Based Upon 7/1-6/30 Fiscal Year for 401(k) Contributions</t>
  </si>
  <si>
    <t>2016 Base Calculation</t>
  </si>
  <si>
    <t>Avg2016</t>
  </si>
  <si>
    <t>Base2016</t>
  </si>
  <si>
    <t>C-CPI-U2016</t>
  </si>
  <si>
    <t>* Yes, the law really does seem to be a calculation of A*(B/A) … which of course simplifies to B. W…T…F?</t>
  </si>
  <si>
    <t>CPI2016</t>
  </si>
  <si>
    <t>Annual CPI Data - Based on BoY of September 1</t>
  </si>
  <si>
    <t>Tax Cuts &amp; Jobs Act - Tax Brackets, Std Deduct, AMT Exemption, Pass-thru QBI</t>
  </si>
  <si>
    <t>Tax Cuts &amp; Jobs Act - Accumulated CPI for Sunset Back to Year 2017</t>
  </si>
  <si>
    <t>Income Tax - 35% Sunset Bracket, Pers Exemption &amp; Itemized Deduct Phase-outs</t>
  </si>
  <si>
    <t>Alternative Minimum Tax Exemption</t>
  </si>
  <si>
    <t>Estate &amp; Lifetime Gift Exclusion</t>
  </si>
  <si>
    <t>IRA &amp; Roth IRA Contribution Max</t>
  </si>
  <si>
    <t>Income Tax Ext. - 10% Sunset Bracket</t>
  </si>
  <si>
    <t>Old &amp; Obsolete Sunset Rule (for end unit tests)</t>
  </si>
  <si>
    <t>Annual Gift &amp; GST Tax Exclusions</t>
  </si>
  <si>
    <t>Income Tax - 28% &amp; 33% Sunset Bracket</t>
  </si>
  <si>
    <t>Income Tax - 15% &amp; 25% Sunset Bracket</t>
  </si>
  <si>
    <t>Personal Exemption</t>
  </si>
  <si>
    <t>Monthly CPI Data</t>
  </si>
  <si>
    <t>Avg Annual CPI</t>
  </si>
  <si>
    <t>Annual CPI Change (%)</t>
  </si>
  <si>
    <t>Annual CPI Change (num)</t>
  </si>
  <si>
    <t>Accum Adj Base Year 2018</t>
  </si>
  <si>
    <t>Accum Adj Base Year 2013</t>
  </si>
  <si>
    <t>Accum Adj Base Year 2012</t>
  </si>
  <si>
    <t>Accum Adj Base Year 2011</t>
  </si>
  <si>
    <t>Accum Adj Base Year 2008</t>
  </si>
  <si>
    <t>Accum Adj Base Year 2003</t>
  </si>
  <si>
    <t>Accum Adj Base Year 2000</t>
  </si>
  <si>
    <t>Accum Adj Base Year 1998</t>
  </si>
  <si>
    <t>Accum Adj Base Year 1994</t>
  </si>
  <si>
    <t>Accum Adj Base Year 1993</t>
  </si>
  <si>
    <t>Accum Adj Base Year 1992</t>
  </si>
  <si>
    <t>Accum Adj Base Year 1989</t>
  </si>
  <si>
    <t>Accum Adj Base Year 1988</t>
  </si>
  <si>
    <t>COLA Adj</t>
  </si>
  <si>
    <t>Data Year</t>
  </si>
  <si>
    <t>Tax Year Avg</t>
  </si>
  <si>
    <t>2023 (est.)</t>
  </si>
  <si>
    <t>2022 (est.)</t>
  </si>
  <si>
    <t>*2018</t>
  </si>
  <si>
    <t>* New tax law base year. Increase calculated from C-CPI-U for 2016 (see below).</t>
  </si>
  <si>
    <t>Tax Year is the year tax values are being updated for e.g. 2018 updated using data from 9/1/16 - 8/31/17. Data Year represents the actual year the data was published.</t>
  </si>
  <si>
    <t>Numbers in gray are CPI. Numbers in black are C-CPI-U. Numbers in red are placeholders.</t>
  </si>
  <si>
    <t>IMPORTANT NOTE: Since each new year of C-CPI-U contains interim and initial data, and those points will be restated later, all past year tax values are no longer valid.</t>
  </si>
  <si>
    <t>Annual CPI Data - Based on BoY of July 1</t>
  </si>
  <si>
    <t>401(k) Contribs &amp; Catch-up, SIMPLE Catch-up Max</t>
  </si>
  <si>
    <t>SIMPLE IRA Contribution Max</t>
  </si>
  <si>
    <t>401(k) Max Total Contribution &amp; Salary Limit</t>
  </si>
  <si>
    <t>Accum Adjust Since 7/1/2005</t>
  </si>
  <si>
    <t>Accum Adjust Since 7/1/2004</t>
  </si>
  <si>
    <t>Accum Adjust Since 7/1/2001</t>
  </si>
  <si>
    <t>2018 (est.)</t>
  </si>
  <si>
    <t>2017 (est.)</t>
  </si>
  <si>
    <t>2016 (est.)</t>
  </si>
  <si>
    <t>2015 (est.)</t>
  </si>
  <si>
    <t>2014 (est.)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</si>
  <si>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</si>
  <si>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</si>
  <si>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</si>
  <si>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</si>
  <si>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</si>
  <si>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</si>
  <si>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</si>
  <si>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</si>
  <si>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</si>
  <si>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</si>
  <si>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</si>
  <si>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</si>
  <si>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</si>
  <si>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</si>
  <si>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</si>
  <si>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401(k)/Pension Plan, SIMPLE IRA, and HSA Contributions</t>
  </si>
  <si>
    <t>NOTE:  The contribution limits below are based upon a completely different indexing scheme which we do not have access to.  As a result, we will always use the largest value that rounds down to the published value for the year.</t>
  </si>
  <si>
    <t>Maximum 401(k) &amp; Qualified Deferred Comp Contributions</t>
  </si>
  <si>
    <t>NOTE:  Cumulative CPI used is Jul 1 - Jun 30, unlike above items and income taxes.</t>
  </si>
  <si>
    <t>Maximum Total Contribution</t>
  </si>
  <si>
    <t>Max Total Contrib (rounded)</t>
  </si>
  <si>
    <t>Max Total Contrib (actual)</t>
  </si>
  <si>
    <t>Max Salary Limit</t>
  </si>
  <si>
    <t>Max Salary Limit (rounded)</t>
  </si>
  <si>
    <t>Max Salary Limit (actual)</t>
  </si>
  <si>
    <t>Maximum Employee Contribution</t>
  </si>
  <si>
    <t>Max Emp Contrib (rounded)</t>
  </si>
  <si>
    <t>Max Emp Contrib (actual)</t>
  </si>
  <si>
    <t>Maximum Catch-up Contribution</t>
  </si>
  <si>
    <t>Max Catch-up Contrib (rounded)</t>
  </si>
  <si>
    <t>Max Catch-up Contrib (actual)</t>
  </si>
  <si>
    <t>* Maximum total contributions rounded down to the nearest $1,000</t>
  </si>
  <si>
    <t>* Maximum employee salary limit rounded down to the nearest $5,000</t>
  </si>
  <si>
    <t>* Maximum employee and catch-up contributions rounded down to the nearest $500</t>
  </si>
  <si>
    <t>* Max Salary Limit for 2009 appears to be incorrect, but may have been adjusted for a negative Jan-Dec CPI in the preceding year due to...</t>
  </si>
  <si>
    <t xml:space="preserve">      the fact that cost of living adjustments are performed per Social Security Act section 215(i) - "Cost-of-Living Increases in Benefits".</t>
  </si>
  <si>
    <t xml:space="preserve">Maximum SIMPLE IRA Contributions (Savings Incentive Match Plan for Employees) </t>
  </si>
  <si>
    <t>??? Not sure about these actuals</t>
  </si>
  <si>
    <t>* Maximum SIMPLE IRA contributions and catch-up contributions rounded down to the nearest $500</t>
  </si>
  <si>
    <t>* Max contribution for 2009 appears to be incorrect, but may have been adjusted for a negative Jan-Dec CPI in the preceding year due to...</t>
  </si>
  <si>
    <t>Minimum Catch-up Contribution Age</t>
  </si>
  <si>
    <t>Age</t>
  </si>
  <si>
    <t>Maximum Contributions as % of Salary</t>
  </si>
  <si>
    <t>Plan Type</t>
  </si>
  <si>
    <t>% of Salary</t>
  </si>
  <si>
    <t>401(k)</t>
  </si>
  <si>
    <t>403(b)</t>
  </si>
  <si>
    <t>KEOGH</t>
  </si>
  <si>
    <t>Proift Sharing</t>
  </si>
  <si>
    <t>SEP</t>
  </si>
  <si>
    <t>SIMPLE IRA</t>
  </si>
  <si>
    <t>Maximum HSA Contributions</t>
  </si>
  <si>
    <t>Maximum Single</t>
  </si>
  <si>
    <t>Maximum Family</t>
  </si>
  <si>
    <t>Max Family (rounded)</t>
  </si>
  <si>
    <t>* Maximum HSA contributions rounded down to the nearest $50</t>
  </si>
  <si>
    <t>* Maximum catch-up contribution not indexed for inflation</t>
  </si>
  <si>
    <t>* We do not know the indexing scheme so we use the published figure plus 50% of the rounding factor.</t>
  </si>
  <si>
    <t>SIMPLE IRA Max Contrib</t>
  </si>
  <si>
    <t>HSA Contribs &amp; Catch-up Max</t>
  </si>
  <si>
    <t>Accum Adj Base Year 2006</t>
  </si>
  <si>
    <t>Accum Adj Base Year 2005</t>
  </si>
  <si>
    <t>Accum Adj Base Year 2004</t>
  </si>
  <si>
    <t>Accum Adj Base Year 2002</t>
  </si>
  <si>
    <t>Values represent CPI-W (CPI for Urban Wage Earners and Clerical Workers) from the BLS website.</t>
  </si>
  <si>
    <t>Tax Year is the year tax values are being updated for e.g. 2020 updated using data from 7/1/18 - 6/30/19. Data Year represents the actual year the data was published.</t>
  </si>
  <si>
    <t>Numbers in red are placeholders.</t>
  </si>
  <si>
    <t>IMPORTANT NOTE: It's possible that restatements might occur so values from a year back should rechecked annually.</t>
  </si>
  <si>
    <t>Social Security Estimated Benefit Calculations</t>
  </si>
  <si>
    <t>SSA 2008</t>
  </si>
  <si>
    <t>SSA 2007</t>
  </si>
  <si>
    <t>SSA 2006</t>
  </si>
  <si>
    <t>SSA 2005</t>
  </si>
  <si>
    <t>SSA 2004</t>
  </si>
  <si>
    <t>Versions / Releases</t>
  </si>
  <si>
    <t>V6.0</t>
  </si>
  <si>
    <t>V5.1.1</t>
  </si>
  <si>
    <t>V4.3</t>
  </si>
  <si>
    <t>-none-</t>
  </si>
  <si>
    <t>V4.1.1.4145</t>
  </si>
  <si>
    <t>V5.3.2</t>
  </si>
  <si>
    <t>V4.2.1</t>
  </si>
  <si>
    <t>Historical Benefits Increase Table*</t>
  </si>
  <si>
    <t>thru 2008</t>
  </si>
  <si>
    <t>thru 2007</t>
  </si>
  <si>
    <t>thru 2005</t>
  </si>
  <si>
    <t>thru 2004</t>
  </si>
  <si>
    <t>thru 2003</t>
  </si>
  <si>
    <t>Historical Avg Wage Table*</t>
  </si>
  <si>
    <t>thru 2006</t>
  </si>
  <si>
    <t>thru 2002</t>
  </si>
  <si>
    <t>OASDI Base Wages Table*</t>
  </si>
  <si>
    <t>thru 2009</t>
  </si>
  <si>
    <t xml:space="preserve">    * See Est. SS Tables tab for actual values</t>
  </si>
  <si>
    <t>Trustees Report*</t>
  </si>
  <si>
    <t>2008 Report</t>
  </si>
  <si>
    <t>2007 Report</t>
  </si>
  <si>
    <t>2005 Report</t>
  </si>
  <si>
    <t>2004 Report</t>
  </si>
  <si>
    <t>2003 Report</t>
  </si>
  <si>
    <t xml:space="preserve">    * Values from each Trustees Report can be found on the Est. Soc Sec Tables tab</t>
  </si>
  <si>
    <t>NOTE:  The following are more for informational purposes</t>
  </si>
  <si>
    <t>PIA Percentage of AIME</t>
  </si>
  <si>
    <t xml:space="preserve">    Percentage #1</t>
  </si>
  <si>
    <t>-unchanged-</t>
  </si>
  <si>
    <t xml:space="preserve">    Percentage #2</t>
  </si>
  <si>
    <t xml:space="preserve">    Percentage #3</t>
  </si>
  <si>
    <t>PIA Portion of AIME</t>
  </si>
  <si>
    <t xml:space="preserve">    AIME Portion #1</t>
  </si>
  <si>
    <t>*calc'd</t>
  </si>
  <si>
    <t>$0-$627</t>
  </si>
  <si>
    <t xml:space="preserve">    AIME Portion #2</t>
  </si>
  <si>
    <t>$627-$3,779</t>
  </si>
  <si>
    <t xml:space="preserve">    AIME Portion #3</t>
  </si>
  <si>
    <t>$3,779-max</t>
  </si>
  <si>
    <t xml:space="preserve">    * Calculated from historical average wage (and projections after year 2002)</t>
  </si>
  <si>
    <t>MFB Percentage of PIA</t>
  </si>
  <si>
    <t xml:space="preserve">    Percentage #4</t>
  </si>
  <si>
    <t>MFB Portion of PIA</t>
  </si>
  <si>
    <t xml:space="preserve">    PIA Portion #1</t>
  </si>
  <si>
    <t>$0-$801</t>
  </si>
  <si>
    <t xml:space="preserve">    PIA Portion #2</t>
  </si>
  <si>
    <t>$801-$1,156</t>
  </si>
  <si>
    <t xml:space="preserve">    PIA Portion #3</t>
  </si>
  <si>
    <t>$1,156-$1,508</t>
  </si>
  <si>
    <t xml:space="preserve">    PIA Portion #4</t>
  </si>
  <si>
    <t>$1,508-max</t>
  </si>
  <si>
    <t>Social Security Estimated Benefit Tables</t>
  </si>
  <si>
    <t>Values in red are not used by the estimation code, and may be updated in subsequent years.</t>
  </si>
  <si>
    <t>Value in green have changed from the previous udpate year.</t>
  </si>
  <si>
    <t xml:space="preserve">Historical Benefit Increases - </t>
  </si>
  <si>
    <t xml:space="preserve">    1951-1960</t>
  </si>
  <si>
    <t xml:space="preserve">    1961-1970</t>
  </si>
  <si>
    <t xml:space="preserve">    1971-1980</t>
  </si>
  <si>
    <t xml:space="preserve">    1981-1990</t>
  </si>
  <si>
    <t xml:space="preserve">    1991-2000</t>
  </si>
  <si>
    <t xml:space="preserve">    2001-2010</t>
  </si>
  <si>
    <t xml:space="preserve">    2011-2020</t>
  </si>
  <si>
    <t xml:space="preserve">    2021-2030</t>
  </si>
  <si>
    <t>Table V.C1 - Cost-of-Living Benefit Increases, Average Wage Index, Contribution and Benefit Bases, and Retirement Earnings Test Exempt Amounts</t>
  </si>
  <si>
    <t>Column:  Cost-of-living benefit increase (percent)</t>
  </si>
  <si>
    <t>Historical Average Wage</t>
  </si>
  <si>
    <t>Column: Average Wage Index (AWI) - Amount</t>
  </si>
  <si>
    <t>OASDI Base Wages</t>
  </si>
  <si>
    <t>*** 2021 from SSA COLA Facts</t>
  </si>
  <si>
    <t>Column:  Contribution and Benefit Base</t>
  </si>
  <si>
    <t>Historical Quarters of Coverage Amounts</t>
  </si>
  <si>
    <t>Table V.C2 - Values for Selected Wage-Index Parameters</t>
  </si>
  <si>
    <t>Column: Earnings required for a quarter of coverage</t>
  </si>
  <si>
    <t>Trustees Report Values</t>
  </si>
  <si>
    <t>2020 Report</t>
  </si>
  <si>
    <t>2019 Report</t>
  </si>
  <si>
    <t>2018 Report</t>
  </si>
  <si>
    <t>2017 Report</t>
  </si>
  <si>
    <t>2016 Report</t>
  </si>
  <si>
    <t>2015 Report</t>
  </si>
  <si>
    <t>2014 Report</t>
  </si>
  <si>
    <t>2013 Report</t>
  </si>
  <si>
    <t>2012 Report</t>
  </si>
  <si>
    <t>2011 Report</t>
  </si>
  <si>
    <t>2010 Report</t>
  </si>
  <si>
    <t>2009 Report</t>
  </si>
  <si>
    <t>Ultimate Benefit Increase</t>
  </si>
  <si>
    <t>Ultimate Avg Wage Increase</t>
  </si>
  <si>
    <t>Table II.C1 - Long-Range Values of Key Assumptions for the 75-year Projection Period</t>
  </si>
  <si>
    <t>Row (Benefit Increase): Consumer Price Index (CPI-W), for 2024 and later</t>
  </si>
  <si>
    <t>Row (Avg Wage Increase): Average wage in covered employment from 2029 to 2094</t>
  </si>
  <si>
    <t>Column:  Intermediate</t>
  </si>
  <si>
    <t>Projected Benefit Increases</t>
  </si>
  <si>
    <t>Percent</t>
  </si>
  <si>
    <t>Table V.B1 - Principal Economic Assumptions</t>
  </si>
  <si>
    <t>Section: Intermediate</t>
  </si>
  <si>
    <t>Column: Consumer Price Index (CPI)</t>
  </si>
  <si>
    <t>Projected Avg Wage Increases</t>
  </si>
  <si>
    <t>Amount</t>
  </si>
  <si>
    <t>Rate #1:</t>
  </si>
  <si>
    <t>Rate #2:</t>
  </si>
  <si>
    <t>Rate #3:</t>
  </si>
  <si>
    <t>NOTE:  Black  numbers taken directly from the table in the SSA Trustees Report.</t>
  </si>
  <si>
    <t>NOTE:  Green numbers are calculated using interpolated rates. Rates are calculated in this spreadsheet through the trial and error method.</t>
  </si>
  <si>
    <t>NOTE:  Red numbers are calculated and are used to compare to actual SSA numbers when figuring out interpolative growth rates.</t>
  </si>
  <si>
    <t>NOTE:  Purple numbers are calculated using ultimate wage increase</t>
  </si>
  <si>
    <t>Table VI.G6 - Selected Economic Variables, Calendar Years 2018-95 (in 2019 report)</t>
  </si>
  <si>
    <t>Column: Average wage index</t>
  </si>
  <si>
    <t>MNA - Rising Cost of Education</t>
  </si>
  <si>
    <t>Report:  Advanced Planning -The Growing Cost of Education</t>
  </si>
  <si>
    <t>Report:  Needs Analysis -The Rising Cost of Education</t>
  </si>
  <si>
    <t>Financial Calculator -Education Goal Calculator, default for Cost Grows At &amp; Disclaimer Text</t>
  </si>
  <si>
    <t>Tuition and Fees Table</t>
  </si>
  <si>
    <t>Academic Year</t>
  </si>
  <si>
    <t>Public 4-year In-State Tuition</t>
  </si>
  <si>
    <t>Increase (Decimals)</t>
  </si>
  <si>
    <t>Increase (Rounded)</t>
  </si>
  <si>
    <t>Private Non-Profit 4-Year Tuition</t>
  </si>
  <si>
    <t>1999 - 2000</t>
  </si>
  <si>
    <t>--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</si>
  <si>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</si>
  <si>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</si>
  <si>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</si>
  <si>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</si>
  <si>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</si>
  <si>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</si>
  <si>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</si>
  <si>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</si>
  <si>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</si>
  <si>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</si>
  <si>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</si>
  <si>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</si>
  <si>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</si>
  <si>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</si>
  <si>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</si>
  <si>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</si>
  <si>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</si>
  <si>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</si>
  <si>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</si>
  <si>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</si>
  <si>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</si>
  <si>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Tuition &amp; Fee Increases</t>
  </si>
  <si>
    <t>Public</t>
  </si>
  <si>
    <t>Private</t>
  </si>
  <si>
    <t>Public &amp; Private</t>
  </si>
  <si>
    <t xml:space="preserve">5 Year Avg </t>
  </si>
  <si>
    <t xml:space="preserve">10 Year Avg </t>
  </si>
  <si>
    <t xml:space="preserve">Since 2000 Avg </t>
  </si>
  <si>
    <t>Costs Above and Beyond Tuition Table</t>
  </si>
  <si>
    <t xml:space="preserve">Public 
Tuition &amp; Costs</t>
  </si>
  <si>
    <t>Increase</t>
  </si>
  <si>
    <t xml:space="preserve">Private
Tuition &amp; Costs</t>
  </si>
  <si>
    <t xml:space="preserve">Tuition &amp; Cost Increases </t>
  </si>
  <si>
    <t>Maximum 529 Contributions by State</t>
  </si>
  <si>
    <t>Source:</t>
  </si>
  <si>
    <t>http://www.savingforcollege.com/compare_529_plans/?plan_question_ids%5B%5D=308&amp;page=compare_plan_questions</t>
  </si>
  <si>
    <t>https://www.savingforcollege.com/529-plan-details</t>
  </si>
  <si>
    <t>IMPORANT NOTE: Do not use figures from ABLE accounts which are specifically for people with disabilities.</t>
  </si>
  <si>
    <t>State Metrics</t>
  </si>
  <si>
    <t># of States</t>
  </si>
  <si>
    <t>Count</t>
  </si>
  <si>
    <t>&gt; $100,000</t>
  </si>
  <si>
    <t>&gt; $300,000</t>
  </si>
  <si>
    <t>&gt; $350,000</t>
  </si>
  <si>
    <t>&gt; $400,000</t>
  </si>
  <si>
    <t>&gt; $450,000</t>
  </si>
  <si>
    <t>State</t>
  </si>
  <si>
    <t>Lifetime Account Limit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</si>
  <si>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</si>
  <si>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</si>
  <si>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</si>
  <si>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</si>
  <si>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</si>
  <si>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</si>
  <si>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</si>
  <si>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</si>
  <si>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</si>
  <si>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</si>
  <si>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</si>
  <si>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</si>
  <si>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</si>
  <si>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</si>
  <si>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</si>
  <si>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</si>
  <si>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</si>
  <si>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</si>
  <si>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</si>
  <si>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</si>
  <si>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</si>
  <si>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</si>
  <si>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</si>
  <si>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</si>
  <si>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</si>
  <si>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</si>
  <si>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</si>
  <si>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</si>
  <si>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</si>
  <si>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</si>
  <si>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</si>
  <si>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</si>
  <si>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</si>
  <si>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</si>
  <si>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</si>
  <si>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</si>
  <si>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</si>
  <si>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</si>
  <si>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</si>
  <si>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</si>
  <si>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</si>
  <si>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</si>
  <si>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</si>
  <si>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</si>
  <si>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</si>
  <si>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</si>
  <si>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</si>
  <si>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</si>
  <si>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</si>
  <si>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</si>
  <si>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</si>
  <si>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Mortality Table</t>
  </si>
  <si>
    <t>For Survival Probability</t>
  </si>
  <si>
    <t>2000CM Mortality Table - Effective May 1, 2009</t>
  </si>
  <si>
    <t>Distribution Period</t>
  </si>
  <si>
    <t>IMPORTANT NOTE: The 2000CM table was effective on May 1, 2009, and mandatory as of July 1, 2009.  During that changeover, 90CM was also still valid.</t>
  </si>
  <si>
    <t>90CM Mortality Table - Effective May 1, 1999</t>
  </si>
  <si>
    <t>* Table shows lives remaining out of 100,000 (hence year 0 is 100,000).</t>
  </si>
  <si>
    <t>80CSMT Mortality Table -Effective May 1, 1989</t>
  </si>
  <si>
    <t>Mentioned for historical context only.  This table was replaced by 90CM.</t>
  </si>
  <si>
    <t>Uniform Lifetime Tables</t>
  </si>
  <si>
    <t>Source:  IRS Publication 590, Appendix C, Tables I-III</t>
  </si>
  <si>
    <t>Current as of Nov. 2, 2012</t>
  </si>
  <si>
    <t>Table III - Distribution Period</t>
  </si>
  <si>
    <t>For use in RMD calcultions by an owner whose spouse is not both the sole beneficiary and more than 10 years younger.</t>
  </si>
  <si>
    <t xml:space="preserve"> (For RMD Calculation)</t>
  </si>
  <si>
    <t xml:space="preserve"> *115</t>
  </si>
  <si>
    <t xml:space="preserve">  </t>
  </si>
  <si>
    <t>* This factor also used for all ages above 115.</t>
  </si>
  <si>
    <t>Table II - Joint Life Remaining Years</t>
  </si>
  <si>
    <t>For use in RMD calculations by an owner whose spouse is the sole beneficiary and more than 10 years younger.</t>
  </si>
  <si>
    <t>Ages</t>
  </si>
  <si>
    <t>115+</t>
  </si>
  <si>
    <t>Table I - Single Life Remaining Years</t>
  </si>
  <si>
    <t>For use in RMD calculations by any beneficiary (including the spouse) when the spouse is not the sole beneficiary.</t>
  </si>
  <si>
    <t>Life Expectancy</t>
  </si>
  <si>
    <t>*111</t>
  </si>
  <si>
    <t>* This factor also used for all ages above 111.</t>
  </si>
  <si>
    <t>Actuarial Table V</t>
  </si>
  <si>
    <t>Table V - Ordinary Life Annuities - One Life - Expected Return Multiples</t>
  </si>
  <si>
    <t>Versions Using 2002 Table</t>
  </si>
  <si>
    <t>4.3</t>
  </si>
  <si>
    <t>4.2.1</t>
  </si>
  <si>
    <t>4.1.1.4145</t>
  </si>
  <si>
    <t>Latest Version Using This Table</t>
  </si>
  <si>
    <t>Multiple</t>
  </si>
  <si>
    <t>Long-Term Care Costs</t>
  </si>
  <si>
    <t>OBSOLETE: Advisor Opportunity Reports that used this data were end-of-lifed in 2019.</t>
  </si>
  <si>
    <t>Genworth Cost of Care Survey 2018 - Median Cost Data Tables</t>
  </si>
  <si>
    <t>https://pro.genworth.com/riiproweb/productinfo/pdf/282102.pdf</t>
  </si>
  <si>
    <t>For each state look up the state median value. (States are sorted in 2-character abbreviation order to match the XML.)</t>
  </si>
  <si>
    <t>Assisted Living (montly)</t>
  </si>
  <si>
    <t>Assisted Living (annual)</t>
  </si>
  <si>
    <t>Nursing Home - Private (monthly)</t>
  </si>
  <si>
    <t>Nursing Home - Private (annual)</t>
  </si>
  <si>
    <t>National</t>
  </si>
  <si>
    <t>National Average Values for Report Heading Text</t>
  </si>
  <si>
    <t>Genworth Report Year</t>
  </si>
  <si>
    <t>National Nursing Home Avg</t>
  </si>
  <si>
    <t xml:space="preserve">Current Daily </t>
  </si>
  <si>
    <t>LTC Rate Increase</t>
  </si>
  <si>
    <t>15 Years into Future</t>
  </si>
  <si>
    <t>Avg Indexed into Future</t>
  </si>
  <si>
    <t>Daily Avg into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</si>
</sst>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$#,##0"/>
    <numFmt numFmtId="165" formatCode="m/d/yyyy"/>
    <numFmt numFmtId="166" formatCode="0.0%"/>
    <numFmt numFmtId="167" formatCode="$#,##0_);[RED]&quot;($&quot;#,##0)"/>
    <numFmt numFmtId="168" formatCode="0.0000000000"/>
    <numFmt numFmtId="169" formatCode="0.0"/>
    <numFmt numFmtId="170" formatCode="0.00000000"/>
    <numFmt numFmtId="171" formatCode="0.00000000000"/>
    <numFmt numFmtId="172" formatCode="$#,##0.00"/>
    <numFmt numFmtId="173" formatCode="0.00000"/>
    <numFmt numFmtId="174" formatCode="0.000%"/>
    <numFmt numFmtId="175" formatCode="0.000"/>
    <numFmt numFmtId="176" formatCode="0.000000000"/>
    <numFmt numFmtId="177" formatCode="#0.000"/>
    <numFmt numFmtId="178" formatCode="#0.0"/>
    <numFmt numFmtId="179" formatCode="_(* #,##0_);_(* (#,##0);_(* -??_);_(@_)"/>
  </numFmts>
  <fonts count="63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Arial"/>
    </font>
    <font>
      <i/>
      <charset val="1"/>
      <color rgb="FF595959"/>
      <sz val="9"/>
      <name val="Arial"/>
    </font>
    <font>
      <b/>
      <charset val="1"/>
      <sz val="10"/>
      <name val="Arial"/>
    </font>
    <font>
      <charset val="1"/>
      <color rgb="FF0000FF"/>
      <sz val="10"/>
      <name val="Arial"/>
    </font>
    <font>
      <charset val="1"/>
      <sz val="10"/>
      <name val="Arial"/>
    </font>
    <font>
      <b/>
      <charset val="1"/>
      <color rgb="FFFFFFFF"/>
      <sz val="11"/>
      <name val="Arial"/>
    </font>
    <font>
      <b/>
      <charset val="1"/>
      <family val="2"/>
      <sz val="14"/>
      <name val="Tahoma"/>
    </font>
    <font>
      <charset val="1"/>
      <family val="2"/>
      <sz val="10"/>
      <name val="Tahoma"/>
    </font>
    <font>
      <charset val="1"/>
      <family val="2"/>
      <sz val="10"/>
      <name val="Arial"/>
    </font>
    <font>
      <b/>
      <charset val="1"/>
      <family val="2"/>
      <sz val="10"/>
      <name val="Tahoma"/>
    </font>
    <font>
      <b/>
      <charset val="1"/>
      <family val="2"/>
      <sz val="10"/>
      <name val="Arial"/>
    </font>
    <font>
      <b/>
      <charset val="1"/>
      <color rgb="FFC00000"/>
      <sz val="10"/>
      <name val="Arial"/>
    </font>
    <font>
      <b/>
      <charset val="1"/>
      <family val="2"/>
      <sz val="11"/>
      <name val="Tahoma"/>
    </font>
    <font>
      <b/>
      <charset val="1"/>
      <color rgb="FFFF0000"/>
      <family val="2"/>
      <sz val="10"/>
      <name val="Tahoma"/>
    </font>
    <font>
      <charset val="1"/>
      <color rgb="FFFF0000"/>
      <family val="2"/>
      <sz val="10"/>
      <name val="Arial"/>
    </font>
    <font>
      <charset val="1"/>
      <family val="2"/>
      <sz val="8"/>
      <name val="Arial"/>
    </font>
    <font>
      <b/>
      <i/>
      <charset val="1"/>
      <family val="2"/>
      <sz val="11"/>
      <name val="Tahoma"/>
    </font>
    <font>
      <charset val="1"/>
      <color rgb="FFFF0000"/>
      <family val="2"/>
      <sz val="10"/>
      <name val="Tahoma"/>
    </font>
    <font>
      <b/>
      <charset val="1"/>
      <color theme="0" tint="-0.5"/>
      <family val="2"/>
      <sz val="10"/>
      <name val="Tahoma"/>
    </font>
    <font>
      <charset val="1"/>
      <color theme="0" tint="-0.5"/>
      <family val="2"/>
      <sz val="10"/>
      <name val="Tahoma"/>
    </font>
    <font>
      <charset val="1"/>
      <color theme="0" tint="-0.5"/>
      <family val="2"/>
      <sz val="10"/>
      <name val="Arial"/>
    </font>
    <font>
      <b/>
      <charset val="1"/>
      <color rgb="FF00B050"/>
      <family val="2"/>
      <sz val="10"/>
      <name val="Arial"/>
    </font>
    <font>
      <b/>
      <charset val="1"/>
      <color rgb="FFFF0000"/>
      <family val="2"/>
      <sz val="10"/>
      <name val="Arial"/>
    </font>
    <font>
      <b/>
      <charset val="1"/>
      <family val="2"/>
      <sz val="12"/>
      <name val="Tahoma"/>
    </font>
    <font>
      <b/>
      <charset val="1"/>
      <color theme="0" tint="-0.35"/>
      <family val="2"/>
      <sz val="10"/>
      <name val="Tahoma"/>
    </font>
    <font>
      <charset val="1"/>
      <color theme="0" tint="-0.35"/>
      <family val="2"/>
      <sz val="10"/>
      <name val="Tahoma"/>
    </font>
    <font>
      <b/>
      <charset val="1"/>
      <color rgb="FF00B050"/>
      <family val="2"/>
      <sz val="10"/>
      <name val="Tahoma"/>
    </font>
    <font>
      <charset val="1"/>
      <color rgb="FF00B050"/>
      <family val="2"/>
      <sz val="10"/>
      <name val="Tahoma"/>
    </font>
    <font>
      <b/>
      <i/>
      <charset val="1"/>
      <family val="2"/>
      <sz val="12"/>
      <name val="Tahoma"/>
    </font>
    <font>
      <charset val="1"/>
      <family val="2"/>
      <sz val="8"/>
      <name val="Tahoma"/>
    </font>
    <font>
      <charset val="1"/>
      <family val="2"/>
      <strike/>
      <sz val="10"/>
      <name val="Tahoma"/>
    </font>
    <font>
      <b/>
      <charset val="1"/>
      <color theme="0" tint="-0.5"/>
      <family val="2"/>
      <sz val="10"/>
      <name val="Arial"/>
    </font>
    <font>
      <charset val="1"/>
      <color rgb="FF00B050"/>
      <family val="2"/>
      <sz val="10"/>
      <name val="Arial"/>
    </font>
    <font>
      <charset val="1"/>
      <color theme="0"/>
      <family val="2"/>
      <sz val="10"/>
      <name val="Arial"/>
    </font>
    <font>
      <charset val="1"/>
      <color theme="0"/>
      <family val="2"/>
      <sz val="26"/>
      <name val="Arial"/>
    </font>
    <font>
      <charset val="1"/>
      <color theme="0"/>
      <family val="2"/>
      <sz val="20"/>
      <name val="Arial"/>
    </font>
    <font>
      <b/>
      <charset val="1"/>
      <color theme="0"/>
      <family val="2"/>
      <sz val="10"/>
      <name val="Tahoma"/>
    </font>
    <font>
      <b/>
      <charset val="1"/>
      <color theme="0"/>
      <family val="2"/>
      <sz val="10"/>
      <name val="Arial"/>
    </font>
    <font>
      <charset val="1"/>
      <family val="2"/>
      <sz val="10"/>
      <name val="Calibri"/>
    </font>
    <font>
      <b/>
      <charset val="1"/>
      <family val="2"/>
      <sz val="12"/>
      <name val="Arial"/>
    </font>
    <font>
      <charset val="1"/>
      <family val="2"/>
      <sz val="9"/>
      <name val="Tahoma"/>
    </font>
    <font>
      <b/>
      <charset val="1"/>
      <family val="2"/>
      <sz val="11"/>
      <name val="Arial"/>
    </font>
    <font>
      <i/>
      <charset val="1"/>
      <family val="2"/>
      <sz val="10"/>
      <name val="Calibri"/>
    </font>
    <font>
      <charset val="1"/>
      <color rgb="FFFF0000"/>
      <family val="2"/>
      <sz val="9"/>
      <name val="Tahoma"/>
    </font>
    <font>
      <b/>
      <charset val="1"/>
      <family val="2"/>
      <sz val="9"/>
      <name val="Tahoma"/>
    </font>
    <font>
      <i/>
      <charset val="1"/>
      <color rgb="FF7030A0"/>
      <family val="2"/>
      <sz val="9"/>
      <name val="Tahoma"/>
    </font>
    <font>
      <charset val="1"/>
      <color theme="0" tint="-0.5"/>
      <family val="2"/>
      <sz val="9"/>
      <name val="Tahoma"/>
    </font>
    <font>
      <b/>
      <charset val="1"/>
      <color theme="0" tint="-0.5"/>
      <family val="2"/>
      <sz val="9"/>
      <name val="Tahoma"/>
    </font>
    <font>
      <b/>
      <charset val="1"/>
      <color rgb="FFFF0000"/>
      <family val="2"/>
      <sz val="12"/>
      <name val="Arial"/>
    </font>
    <font>
      <charset val="1"/>
      <color rgb="FF7030A0"/>
      <family val="2"/>
      <sz val="10"/>
      <name val="Arial"/>
    </font>
    <font>
      <b/>
      <charset val="1"/>
      <color rgb="FF7030A0"/>
      <family val="2"/>
      <sz val="10"/>
      <name val="Tahoma"/>
    </font>
    <font>
      <charset val="1"/>
      <color theme="1"/>
      <family val="2"/>
      <sz val="10"/>
      <name val="Tahoma"/>
    </font>
    <font>
      <charset val="1"/>
      <color rgb="FF000000"/>
      <family val="2"/>
      <sz val="10"/>
      <name val="Arial"/>
    </font>
    <font>
      <b/>
      <charset val="1"/>
      <color rgb="FF0070C0"/>
      <family val="2"/>
      <sz val="10"/>
      <name val="Tahoma"/>
    </font>
    <font>
      <charset val="1"/>
      <color rgb="FF000000"/>
      <family val="2"/>
      <sz val="10"/>
      <name val="Tahoma"/>
    </font>
    <font>
      <b/>
      <charset val="1"/>
      <color rgb="FF000000"/>
      <family val="2"/>
      <sz val="10"/>
      <name val="Tahoma"/>
    </font>
    <font>
      <b/>
      <charset val="1"/>
      <family val="2"/>
      <sz val="16"/>
      <name val="Arial"/>
    </font>
    <font>
      <u/>
      <charset val="1"/>
      <color rgb="FF0000FF"/>
      <family val="2"/>
      <sz val="10"/>
      <name val="Arial"/>
    </font>
    <font>
      <b/>
      <charset val="1"/>
      <color theme="1"/>
      <family val="2"/>
      <sz val="11"/>
      <name val="Calibri"/>
    </font>
    <font>
      <charset val="1"/>
      <family val="3"/>
      <sz val="10"/>
      <name val="Courier New"/>
    </font>
    <font>
      <b/>
      <charset val="1"/>
      <color rgb="FFFF0000"/>
      <family val="2"/>
      <sz val="16"/>
      <name val="Arial"/>
    </font>
    <font>
      <b/>
      <charset val="1"/>
      <color theme="1"/>
      <family val="2"/>
      <sz val="1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theme="1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theme="5" tint="0.3999"/>
        <bgColor rgb="FFD99795"/>
      </patternFill>
    </fill>
    <fill>
      <patternFill patternType="solid">
        <fgColor rgb="FFD99795"/>
        <bgColor rgb="FFD99694"/>
      </patternFill>
    </fill>
    <fill>
      <patternFill patternType="solid">
        <fgColor rgb="FFFFFFCC"/>
        <bgColor rgb="FFFFFFFF"/>
      </patternFill>
    </fill>
  </fills>
  <borders count="4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ck"/>
      <bottom style="thick"/>
      <diagonal/>
    </border>
    <border>
      <left style="thick"/>
      <right/>
      <top style="thick"/>
      <bottom style="thick"/>
      <diagonal/>
    </border>
    <border>
      <left style="thick"/>
      <right/>
      <top/>
      <bottom/>
      <diagonal/>
    </border>
    <border>
      <left/>
      <right/>
      <top/>
      <bottom style="thick"/>
      <diagonal/>
    </border>
    <border>
      <left/>
      <right style="thick"/>
      <top/>
      <bottom/>
      <diagonal/>
    </border>
    <border>
      <left/>
      <right style="thick"/>
      <top style="thick"/>
      <bottom style="thick"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thick"/>
      <right/>
      <top style="thick"/>
      <bottom/>
      <diagonal/>
    </border>
    <border>
      <left/>
      <right style="dashed"/>
      <top/>
      <bottom/>
      <diagonal/>
    </border>
    <border>
      <left style="thick"/>
      <right style="thick"/>
      <top/>
      <bottom style="thick"/>
      <diagonal/>
    </border>
    <border>
      <left/>
      <right/>
      <top/>
      <bottom style="thin"/>
      <diagonal/>
    </border>
    <border>
      <left style="thick"/>
      <right/>
      <top/>
      <bottom style="medium"/>
      <diagonal/>
    </border>
    <border>
      <left/>
      <right/>
      <top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thick"/>
      <right style="dashed"/>
      <top/>
      <bottom/>
      <diagonal/>
    </border>
    <border>
      <left/>
      <right style="medium"/>
      <top/>
      <bottom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 style="thin"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medium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 style="thin">
        <color rgb="FF666699"/>
      </bottom>
      <diagonal/>
    </border>
    <border>
      <left/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 style="thin">
        <color rgb="FF666699"/>
      </right>
      <top/>
      <bottom style="thin">
        <color rgb="FF666699"/>
      </bottom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43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3" borderId="0" xfId="0" applyFont="1" applyFill="1" applyAlignment="1">
      <alignment vertical="bottom"/>
    </xf>
    <xf numFmtId="0" fontId="6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6" borderId="0" xfId="0" applyFont="1" applyFill="1" applyAlignment="1">
      <alignment vertical="bottom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 applyAlignment="1">
      <alignment vertical="bottom"/>
    </xf>
    <xf numFmtId="165" fontId="10" fillId="0" borderId="0" xfId="0" applyNumberFormat="1" applyFont="1" applyAlignment="1">
      <alignment vertical="bottom"/>
    </xf>
    <xf numFmtId="0" fontId="10" fillId="0" borderId="0" xfId="0" applyFont="1" applyAlignment="1">
      <alignment vertical="bottom"/>
    </xf>
    <xf numFmtId="166" fontId="8" fillId="0" borderId="0" xfId="0" applyNumberFormat="1" applyFont="1" applyAlignment="1">
      <alignment vertical="bottom"/>
    </xf>
    <xf numFmtId="0" fontId="11" fillId="0" borderId="0" xfId="0" applyFont="1" applyAlignment="1">
      <alignment vertical="bottom"/>
    </xf>
    <xf numFmtId="0" fontId="12" fillId="3" borderId="0" xfId="0" applyFont="1" applyFill="1" applyAlignment="1">
      <alignment vertical="bottom"/>
    </xf>
    <xf numFmtId="0" fontId="13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10" fillId="0" borderId="2" xfId="0" applyFont="1" applyBorder="1" applyAlignment="1">
      <alignment vertical="bottom" wrapText="1"/>
    </xf>
    <xf numFmtId="0" fontId="11" fillId="0" borderId="3" xfId="0" applyFont="1" applyBorder="1" applyAlignment="1">
      <alignment vertical="bottom" wrapText="1"/>
    </xf>
    <xf numFmtId="0" fontId="11" fillId="0" borderId="2" xfId="0" applyFont="1" applyBorder="1" applyAlignment="1">
      <alignment vertical="bottom" wrapText="1"/>
    </xf>
    <xf numFmtId="0" fontId="14" fillId="0" borderId="0" xfId="0" applyFont="1" applyAlignment="1">
      <alignment vertical="bottom"/>
    </xf>
    <xf numFmtId="10" fontId="15" fillId="0" borderId="4" xfId="0" applyNumberFormat="1" applyFont="1" applyBorder="1" applyAlignment="1">
      <alignment vertical="bottom"/>
    </xf>
    <xf numFmtId="164" fontId="4" fillId="0" borderId="0" xfId="0" applyNumberFormat="1" applyFont="1" applyAlignment="1">
      <alignment vertical="bottom"/>
    </xf>
    <xf numFmtId="10" fontId="15" fillId="0" borderId="0" xfId="0" applyNumberFormat="1" applyFont="1" applyAlignment="1">
      <alignment vertical="bottom"/>
    </xf>
    <xf numFmtId="10" fontId="9" fillId="0" borderId="4" xfId="0" applyNumberFormat="1" applyFont="1" applyBorder="1" applyAlignment="1">
      <alignment vertical="bottom"/>
    </xf>
    <xf numFmtId="164" fontId="9" fillId="0" borderId="0" xfId="0" applyNumberFormat="1" applyFont="1" applyAlignment="1">
      <alignment vertical="bottom"/>
    </xf>
    <xf numFmtId="10" fontId="9" fillId="0" borderId="0" xfId="0" applyNumberFormat="1" applyFont="1" applyAlignment="1">
      <alignment vertical="bottom"/>
    </xf>
    <xf numFmtId="0" fontId="16" fillId="0" borderId="0" xfId="0" applyFont="1" applyAlignment="1">
      <alignment vertical="bottom"/>
    </xf>
    <xf numFmtId="164" fontId="16" fillId="0" borderId="0" xfId="0" applyNumberFormat="1" applyFont="1" applyAlignment="1">
      <alignment vertical="bottom"/>
    </xf>
    <xf numFmtId="10" fontId="5" fillId="0" borderId="4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0" fontId="5" fillId="0" borderId="0" xfId="0" applyNumberFormat="1" applyFont="1" applyAlignment="1">
      <alignment vertical="bottom"/>
    </xf>
    <xf numFmtId="0" fontId="17" fillId="0" borderId="0" xfId="0" applyFont="1" applyAlignment="1">
      <alignment vertical="bottom"/>
    </xf>
    <xf numFmtId="0" fontId="10" fillId="0" borderId="3" xfId="0" applyFont="1" applyBorder="1" applyAlignment="1">
      <alignment vertical="bottom" wrapText="1"/>
    </xf>
    <xf numFmtId="164" fontId="18" fillId="0" borderId="4" xfId="0" applyNumberFormat="1" applyFont="1" applyBorder="1" applyAlignment="1">
      <alignment vertical="bottom"/>
    </xf>
    <xf numFmtId="164" fontId="18" fillId="0" borderId="0" xfId="0" applyNumberFormat="1" applyFont="1" applyAlignment="1">
      <alignment vertical="bottom"/>
    </xf>
    <xf numFmtId="2" fontId="18" fillId="0" borderId="0" xfId="0" applyNumberFormat="1" applyFont="1" applyAlignment="1">
      <alignment vertical="bottom"/>
    </xf>
    <xf numFmtId="164" fontId="8" fillId="0" borderId="4" xfId="0" applyNumberFormat="1" applyFont="1" applyBorder="1" applyAlignment="1">
      <alignment vertical="bottom"/>
    </xf>
    <xf numFmtId="164" fontId="8" fillId="0" borderId="0" xfId="0" applyNumberFormat="1" applyFont="1" applyAlignment="1">
      <alignment vertical="bottom"/>
    </xf>
    <xf numFmtId="2" fontId="8" fillId="0" borderId="0" xfId="0" applyNumberFormat="1" applyFont="1" applyAlignment="1">
      <alignment vertical="bottom"/>
    </xf>
    <xf numFmtId="0" fontId="19" fillId="0" borderId="0" xfId="0" applyFont="1" applyAlignment="1">
      <alignment vertical="bottom"/>
    </xf>
    <xf numFmtId="164" fontId="20" fillId="0" borderId="4" xfId="0" applyNumberFormat="1" applyFont="1" applyBorder="1" applyAlignment="1">
      <alignment vertical="bottom"/>
    </xf>
    <xf numFmtId="164" fontId="20" fillId="0" borderId="0" xfId="0" applyNumberFormat="1" applyFont="1" applyAlignment="1">
      <alignment vertical="bottom"/>
    </xf>
    <xf numFmtId="2" fontId="20" fillId="0" borderId="0" xfId="0" applyNumberFormat="1" applyFont="1" applyAlignment="1">
      <alignment vertical="bottom"/>
    </xf>
    <xf numFmtId="167" fontId="18" fillId="0" borderId="0" xfId="0" applyNumberFormat="1" applyFont="1" applyAlignment="1">
      <alignment vertical="bottom"/>
    </xf>
    <xf numFmtId="167" fontId="20" fillId="0" borderId="0" xfId="0" applyNumberFormat="1" applyFont="1" applyAlignment="1">
      <alignment vertical="bottom"/>
    </xf>
    <xf numFmtId="167" fontId="8" fillId="0" borderId="0" xfId="0" applyNumberFormat="1" applyFont="1" applyAlignment="1">
      <alignment vertical="bottom"/>
    </xf>
    <xf numFmtId="0" fontId="5" fillId="0" borderId="2" xfId="0" applyFont="1" applyBorder="1" applyAlignment="1">
      <alignment vertical="bottom"/>
    </xf>
    <xf numFmtId="0" fontId="10" fillId="0" borderId="0" xfId="0" applyFont="1" applyAlignment="1">
      <alignment vertical="bottom" wrapText="1"/>
    </xf>
    <xf numFmtId="164" fontId="18" fillId="0" borderId="4" xfId="0" applyNumberFormat="1" applyFont="1" applyBorder="1" applyAlignment="1">
      <alignment vertical="bottom" wrapText="1"/>
    </xf>
    <xf numFmtId="164" fontId="18" fillId="0" borderId="0" xfId="0" applyNumberFormat="1" applyFont="1" applyAlignment="1">
      <alignment vertical="bottom" wrapText="1"/>
    </xf>
    <xf numFmtId="10" fontId="18" fillId="0" borderId="0" xfId="0" applyNumberFormat="1" applyFont="1" applyAlignment="1">
      <alignment vertical="bottom"/>
    </xf>
    <xf numFmtId="164" fontId="20" fillId="0" borderId="4" xfId="0" applyNumberFormat="1" applyFont="1" applyBorder="1" applyAlignment="1">
      <alignment vertical="bottom" wrapText="1"/>
    </xf>
    <xf numFmtId="164" fontId="20" fillId="0" borderId="0" xfId="0" applyNumberFormat="1" applyFont="1" applyAlignment="1">
      <alignment vertical="bottom" wrapText="1"/>
    </xf>
    <xf numFmtId="10" fontId="20" fillId="0" borderId="0" xfId="0" applyNumberFormat="1" applyFont="1" applyAlignment="1">
      <alignment vertical="bottom"/>
    </xf>
    <xf numFmtId="164" fontId="8" fillId="0" borderId="4" xfId="0" applyNumberFormat="1" applyFont="1" applyBorder="1" applyAlignment="1">
      <alignment vertical="bottom" wrapText="1"/>
    </xf>
    <xf numFmtId="164" fontId="8" fillId="0" borderId="0" xfId="0" applyNumberFormat="1" applyFont="1" applyAlignment="1">
      <alignment vertical="bottom" wrapText="1"/>
    </xf>
    <xf numFmtId="10" fontId="8" fillId="0" borderId="0" xfId="0" applyNumberFormat="1" applyFont="1" applyAlignment="1">
      <alignment vertical="bottom"/>
    </xf>
    <xf numFmtId="0" fontId="10" fillId="0" borderId="2" xfId="0" applyFont="1" applyBorder="1" applyAlignment="1">
      <alignment vertical="bottom"/>
    </xf>
    <xf numFmtId="10" fontId="18" fillId="0" borderId="0" xfId="0" applyNumberFormat="1" applyFont="1" applyAlignment="1">
      <alignment vertical="bottom" wrapText="1"/>
    </xf>
    <xf numFmtId="10" fontId="20" fillId="0" borderId="0" xfId="0" applyNumberFormat="1" applyFont="1" applyAlignment="1">
      <alignment vertical="bottom" wrapText="1"/>
    </xf>
    <xf numFmtId="10" fontId="8" fillId="0" borderId="0" xfId="0" applyNumberFormat="1" applyFont="1" applyAlignment="1">
      <alignment vertical="bottom" wrapText="1"/>
    </xf>
    <xf numFmtId="167" fontId="18" fillId="0" borderId="4" xfId="0" applyNumberFormat="1" applyFont="1" applyBorder="1" applyAlignment="1">
      <alignment vertical="bottom"/>
    </xf>
    <xf numFmtId="167" fontId="8" fillId="0" borderId="4" xfId="0" applyNumberFormat="1" applyFont="1" applyBorder="1" applyAlignment="1">
      <alignment vertical="bottom"/>
    </xf>
    <xf numFmtId="0" fontId="13" fillId="0" borderId="4" xfId="0" applyFont="1" applyBorder="1" applyAlignment="1">
      <alignment vertical="bottom"/>
    </xf>
    <xf numFmtId="0" fontId="17" fillId="0" borderId="4" xfId="0" applyFont="1" applyBorder="1" applyAlignment="1">
      <alignment vertical="bottom"/>
    </xf>
    <xf numFmtId="0" fontId="21" fillId="0" borderId="0" xfId="0" applyFont="1" applyAlignment="1">
      <alignment vertical="bottom"/>
    </xf>
    <xf numFmtId="167" fontId="20" fillId="0" borderId="4" xfId="0" applyNumberFormat="1" applyFont="1" applyBorder="1" applyAlignment="1">
      <alignment vertical="bottom"/>
    </xf>
    <xf numFmtId="0" fontId="22" fillId="0" borderId="0" xfId="0" applyFont="1" applyAlignment="1">
      <alignment vertical="bottom"/>
    </xf>
    <xf numFmtId="0" fontId="23" fillId="0" borderId="0" xfId="0" applyFont="1" applyAlignment="1">
      <alignment vertical="bottom"/>
    </xf>
    <xf numFmtId="168" fontId="18" fillId="0" borderId="0" xfId="0" applyNumberFormat="1" applyFont="1" applyAlignment="1">
      <alignment vertical="bottom"/>
    </xf>
    <xf numFmtId="168" fontId="20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0" fontId="24" fillId="0" borderId="5" xfId="0" applyFont="1" applyBorder="1" applyAlignment="1">
      <alignment vertical="bottom"/>
    </xf>
    <xf numFmtId="0" fontId="9" fillId="0" borderId="5" xfId="0" applyFont="1" applyBorder="1" applyAlignment="1">
      <alignment vertical="bottom"/>
    </xf>
    <xf numFmtId="0" fontId="25" fillId="0" borderId="0" xfId="0" applyFont="1" applyAlignment="1">
      <alignment vertical="bottom"/>
    </xf>
    <xf numFmtId="168" fontId="26" fillId="0" borderId="0" xfId="0" applyNumberFormat="1" applyFont="1" applyAlignment="1">
      <alignment vertical="bottom"/>
    </xf>
    <xf numFmtId="164" fontId="26" fillId="0" borderId="4" xfId="0" applyNumberFormat="1" applyFont="1" applyBorder="1" applyAlignment="1">
      <alignment vertical="bottom"/>
    </xf>
    <xf numFmtId="164" fontId="26" fillId="0" borderId="0" xfId="0" applyNumberFormat="1" applyFont="1" applyAlignment="1">
      <alignment vertical="bottom"/>
    </xf>
    <xf numFmtId="169" fontId="10" fillId="0" borderId="0" xfId="0" applyNumberFormat="1" applyFont="1" applyAlignment="1">
      <alignment vertical="bottom"/>
    </xf>
    <xf numFmtId="164" fontId="27" fillId="0" borderId="4" xfId="0" applyNumberFormat="1" applyFont="1" applyBorder="1" applyAlignment="1">
      <alignment vertical="bottom"/>
    </xf>
    <xf numFmtId="164" fontId="27" fillId="0" borderId="0" xfId="0" applyNumberFormat="1" applyFont="1" applyAlignment="1">
      <alignment vertical="bottom"/>
    </xf>
    <xf numFmtId="164" fontId="28" fillId="0" borderId="0" xfId="0" applyNumberFormat="1" applyFont="1" applyAlignment="1">
      <alignment vertical="bottom"/>
    </xf>
    <xf numFmtId="170" fontId="9" fillId="0" borderId="0" xfId="0" applyNumberFormat="1" applyFont="1" applyAlignment="1">
      <alignment vertical="bottom"/>
    </xf>
    <xf numFmtId="0" fontId="24" fillId="0" borderId="0" xfId="0" applyFont="1" applyAlignment="1">
      <alignment vertical="bottom"/>
    </xf>
    <xf numFmtId="0" fontId="29" fillId="0" borderId="0" xfId="0" applyFont="1" applyAlignment="1">
      <alignment vertical="bottom"/>
    </xf>
    <xf numFmtId="170" fontId="9" fillId="0" borderId="2" xfId="0" applyNumberFormat="1" applyFont="1" applyBorder="1" applyAlignment="1">
      <alignment vertical="bottom"/>
    </xf>
    <xf numFmtId="170" fontId="11" fillId="0" borderId="0" xfId="0" applyNumberFormat="1" applyFont="1" applyAlignment="1">
      <alignment vertical="bottom"/>
    </xf>
    <xf numFmtId="0" fontId="8" fillId="0" borderId="4" xfId="0" applyFont="1" applyBorder="1" applyAlignment="1">
      <alignment vertical="bottom"/>
    </xf>
    <xf numFmtId="169" fontId="10" fillId="0" borderId="0" xfId="0" applyNumberFormat="1" applyFont="1" applyAlignment="1">
      <alignment horizontal="right" vertical="bottom"/>
    </xf>
    <xf numFmtId="167" fontId="27" fillId="0" borderId="4" xfId="0" applyNumberFormat="1" applyFont="1" applyBorder="1" applyAlignment="1">
      <alignment horizontal="right" vertical="bottom" wrapText="1"/>
    </xf>
    <xf numFmtId="167" fontId="27" fillId="0" borderId="0" xfId="0" applyNumberFormat="1" applyFont="1" applyAlignment="1">
      <alignment horizontal="right" vertical="bottom"/>
    </xf>
    <xf numFmtId="1" fontId="8" fillId="0" borderId="0" xfId="0" applyNumberFormat="1" applyFont="1" applyAlignment="1">
      <alignment horizontal="right" vertical="bottom"/>
    </xf>
    <xf numFmtId="167" fontId="27" fillId="0" borderId="0" xfId="0" applyNumberFormat="1" applyFont="1" applyAlignment="1">
      <alignment horizontal="right" vertical="bottom" wrapText="1"/>
    </xf>
    <xf numFmtId="168" fontId="18" fillId="0" borderId="6" xfId="0" applyNumberFormat="1" applyFont="1" applyBorder="1" applyAlignment="1">
      <alignment vertical="bottom"/>
    </xf>
    <xf numFmtId="168" fontId="8" fillId="0" borderId="6" xfId="0" applyNumberFormat="1" applyFont="1" applyBorder="1" applyAlignment="1">
      <alignment vertical="bottom"/>
    </xf>
    <xf numFmtId="169" fontId="10" fillId="0" borderId="6" xfId="0" applyNumberFormat="1" applyFont="1" applyBorder="1" applyAlignment="1">
      <alignment vertical="bottom"/>
    </xf>
    <xf numFmtId="168" fontId="20" fillId="0" borderId="6" xfId="0" applyNumberFormat="1" applyFont="1" applyBorder="1" applyAlignment="1">
      <alignment vertical="bottom"/>
    </xf>
    <xf numFmtId="164" fontId="30" fillId="0" borderId="0" xfId="0" applyNumberFormat="1" applyFont="1" applyAlignment="1">
      <alignment vertical="bottom"/>
    </xf>
    <xf numFmtId="1" fontId="8" fillId="0" borderId="6" xfId="0" applyNumberFormat="1" applyFont="1" applyBorder="1" applyAlignment="1">
      <alignment vertical="bottom"/>
    </xf>
    <xf numFmtId="1" fontId="8" fillId="0" borderId="0" xfId="0" applyNumberFormat="1" applyFont="1" applyAlignment="1">
      <alignment vertical="bottom"/>
    </xf>
    <xf numFmtId="0" fontId="10" fillId="0" borderId="0" xfId="0" applyFont="1" applyAlignment="1">
      <alignment horizontal="right" vertical="bottom"/>
    </xf>
    <xf numFmtId="164" fontId="14" fillId="0" borderId="0" xfId="0" applyNumberFormat="1" applyFont="1" applyAlignment="1">
      <alignment vertical="bottom"/>
    </xf>
    <xf numFmtId="164" fontId="10" fillId="0" borderId="0" xfId="0" applyNumberFormat="1" applyFont="1" applyAlignment="1">
      <alignment vertical="bottom"/>
    </xf>
    <xf numFmtId="164" fontId="19" fillId="0" borderId="0" xfId="0" applyNumberFormat="1" applyFont="1" applyAlignment="1">
      <alignment vertical="bottom"/>
    </xf>
    <xf numFmtId="0" fontId="30" fillId="0" borderId="0" xfId="0" applyFont="1" applyAlignment="1">
      <alignment vertical="bottom"/>
    </xf>
    <xf numFmtId="0" fontId="10" fillId="0" borderId="3" xfId="0" applyFont="1" applyBorder="1" applyAlignment="1">
      <alignment vertical="bottom"/>
    </xf>
    <xf numFmtId="0" fontId="8" fillId="0" borderId="2" xfId="0" applyFont="1" applyBorder="1" applyAlignment="1">
      <alignment vertical="bottom"/>
    </xf>
    <xf numFmtId="0" fontId="8" fillId="0" borderId="7" xfId="0" applyFont="1" applyBorder="1" applyAlignment="1">
      <alignment vertical="bottom"/>
    </xf>
    <xf numFmtId="0" fontId="10" fillId="0" borderId="7" xfId="0" applyFont="1" applyBorder="1" applyAlignment="1">
      <alignment vertical="bottom"/>
    </xf>
    <xf numFmtId="164" fontId="8" fillId="0" borderId="0" xfId="0" applyNumberFormat="1" applyFont="1" applyAlignment="1">
      <alignment horizontal="right" vertical="bottom" wrapText="1"/>
    </xf>
    <xf numFmtId="166" fontId="8" fillId="0" borderId="8" xfId="0" applyNumberFormat="1" applyFont="1" applyBorder="1" applyAlignment="1">
      <alignment vertical="bottom"/>
    </xf>
    <xf numFmtId="3" fontId="8" fillId="0" borderId="4" xfId="0" applyNumberFormat="1" applyFont="1" applyBorder="1" applyAlignment="1">
      <alignment vertical="bottom"/>
    </xf>
    <xf numFmtId="166" fontId="8" fillId="0" borderId="6" xfId="0" applyNumberFormat="1" applyFont="1" applyBorder="1" applyAlignment="1">
      <alignment vertical="bottom"/>
    </xf>
    <xf numFmtId="3" fontId="8" fillId="0" borderId="4" xfId="0" applyNumberFormat="1" applyFont="1" applyBorder="1" applyAlignment="1">
      <alignment horizontal="right" vertical="bottom"/>
    </xf>
    <xf numFmtId="166" fontId="31" fillId="0" borderId="6" xfId="0" applyNumberFormat="1" applyFont="1" applyBorder="1" applyAlignment="1">
      <alignment vertical="bottom"/>
    </xf>
    <xf numFmtId="3" fontId="8" fillId="0" borderId="9" xfId="0" applyNumberFormat="1" applyFont="1" applyBorder="1" applyAlignment="1">
      <alignment vertical="bottom"/>
    </xf>
    <xf numFmtId="3" fontId="8" fillId="0" borderId="5" xfId="0" applyNumberFormat="1" applyFont="1" applyBorder="1" applyAlignment="1">
      <alignment horizontal="right" vertical="bottom"/>
    </xf>
    <xf numFmtId="166" fontId="8" fillId="0" borderId="5" xfId="0" applyNumberFormat="1" applyFont="1" applyBorder="1" applyAlignment="1">
      <alignment vertical="bottom"/>
    </xf>
    <xf numFmtId="3" fontId="8" fillId="0" borderId="9" xfId="0" applyNumberFormat="1" applyFont="1" applyBorder="1" applyAlignment="1">
      <alignment horizontal="right" vertical="bottom"/>
    </xf>
    <xf numFmtId="166" fontId="8" fillId="0" borderId="10" xfId="0" applyNumberFormat="1" applyFont="1" applyBorder="1" applyAlignment="1">
      <alignment vertical="bottom"/>
    </xf>
    <xf numFmtId="3" fontId="8" fillId="0" borderId="0" xfId="0" applyNumberFormat="1" applyFont="1" applyAlignment="1">
      <alignment vertical="bottom"/>
    </xf>
    <xf numFmtId="3" fontId="8" fillId="0" borderId="0" xfId="0" applyNumberFormat="1" applyFont="1" applyAlignment="1">
      <alignment horizontal="right" vertical="bottom"/>
    </xf>
    <xf numFmtId="167" fontId="8" fillId="0" borderId="5" xfId="0" applyNumberFormat="1" applyFont="1" applyBorder="1" applyAlignment="1">
      <alignment vertical="bottom"/>
    </xf>
    <xf numFmtId="10" fontId="5" fillId="0" borderId="5" xfId="0" applyNumberFormat="1" applyFont="1" applyBorder="1" applyAlignment="1">
      <alignment vertical="bottom"/>
    </xf>
    <xf numFmtId="0" fontId="5" fillId="0" borderId="5" xfId="0" applyFont="1" applyBorder="1" applyAlignment="1">
      <alignment vertical="bottom"/>
    </xf>
    <xf numFmtId="164" fontId="8" fillId="0" borderId="11" xfId="0" applyNumberFormat="1" applyFont="1" applyBorder="1" applyAlignment="1">
      <alignment vertical="bottom"/>
    </xf>
    <xf numFmtId="0" fontId="32" fillId="0" borderId="0" xfId="0" applyFont="1" applyAlignment="1">
      <alignment vertical="bottom"/>
    </xf>
    <xf numFmtId="164" fontId="33" fillId="0" borderId="0" xfId="0" applyNumberFormat="1" applyFont="1" applyAlignment="1">
      <alignment vertical="bottom"/>
    </xf>
    <xf numFmtId="9" fontId="10" fillId="0" borderId="3" xfId="0" applyNumberFormat="1" applyFont="1" applyBorder="1" applyAlignment="1">
      <alignment vertical="bottom" wrapText="1"/>
    </xf>
    <xf numFmtId="9" fontId="10" fillId="0" borderId="2" xfId="0" applyNumberFormat="1" applyFont="1" applyBorder="1" applyAlignment="1">
      <alignment vertical="bottom" wrapText="1"/>
    </xf>
    <xf numFmtId="168" fontId="18" fillId="0" borderId="4" xfId="0" applyNumberFormat="1" applyFont="1" applyBorder="1" applyAlignment="1">
      <alignment vertical="bottom"/>
    </xf>
    <xf numFmtId="168" fontId="20" fillId="0" borderId="4" xfId="0" applyNumberFormat="1" applyFont="1" applyBorder="1" applyAlignment="1">
      <alignment vertical="bottom"/>
    </xf>
    <xf numFmtId="168" fontId="8" fillId="0" borderId="4" xfId="0" applyNumberFormat="1" applyFont="1" applyBorder="1" applyAlignment="1">
      <alignment vertical="bottom"/>
    </xf>
    <xf numFmtId="169" fontId="10" fillId="0" borderId="4" xfId="0" applyNumberFormat="1" applyFont="1" applyBorder="1" applyAlignment="1">
      <alignment vertical="bottom"/>
    </xf>
    <xf numFmtId="0" fontId="10" fillId="0" borderId="4" xfId="0" applyFont="1" applyBorder="1" applyAlignment="1">
      <alignment vertical="bottom"/>
    </xf>
    <xf numFmtId="0" fontId="34" fillId="7" borderId="0" xfId="0" applyFont="1" applyFill="1" applyAlignment="1">
      <alignment vertical="bottom"/>
    </xf>
    <xf numFmtId="0" fontId="35" fillId="7" borderId="0" xfId="0" applyFont="1" applyFill="1" applyAlignment="1">
      <alignment vertical="bottom"/>
    </xf>
    <xf numFmtId="9" fontId="36" fillId="7" borderId="0" xfId="0" applyNumberFormat="1" applyFont="1" applyFill="1" applyAlignment="1">
      <alignment vertical="bottom"/>
    </xf>
    <xf numFmtId="0" fontId="34" fillId="7" borderId="0" xfId="0" applyFont="1" applyFill="1" applyAlignment="1">
      <alignment horizontal="center" vertical="bottom"/>
    </xf>
    <xf numFmtId="0" fontId="37" fillId="7" borderId="2" xfId="0" applyFont="1" applyFill="1" applyBorder="1" applyAlignment="1">
      <alignment vertical="bottom" wrapText="1"/>
    </xf>
    <xf numFmtId="0" fontId="37" fillId="7" borderId="3" xfId="0" applyFont="1" applyFill="1" applyBorder="1" applyAlignment="1">
      <alignment vertical="bottom" wrapText="1"/>
    </xf>
    <xf numFmtId="9" fontId="37" fillId="7" borderId="3" xfId="0" applyNumberFormat="1" applyFont="1" applyFill="1" applyBorder="1" applyAlignment="1">
      <alignment vertical="bottom" wrapText="1"/>
    </xf>
    <xf numFmtId="9" fontId="37" fillId="7" borderId="2" xfId="0" applyNumberFormat="1" applyFont="1" applyFill="1" applyBorder="1" applyAlignment="1">
      <alignment vertical="bottom" wrapText="1"/>
    </xf>
    <xf numFmtId="0" fontId="37" fillId="7" borderId="0" xfId="0" applyFont="1" applyFill="1" applyAlignment="1">
      <alignment vertical="bottom" wrapText="1"/>
    </xf>
    <xf numFmtId="164" fontId="37" fillId="7" borderId="4" xfId="0" applyNumberFormat="1" applyFont="1" applyFill="1" applyBorder="1" applyAlignment="1">
      <alignment vertical="bottom"/>
    </xf>
    <xf numFmtId="164" fontId="37" fillId="7" borderId="0" xfId="0" applyNumberFormat="1" applyFont="1" applyFill="1" applyAlignment="1">
      <alignment vertical="bottom"/>
    </xf>
    <xf numFmtId="9" fontId="37" fillId="7" borderId="0" xfId="0" applyNumberFormat="1" applyFont="1" applyFill="1" applyAlignment="1">
      <alignment vertical="bottom" wrapText="1"/>
    </xf>
    <xf numFmtId="0" fontId="37" fillId="7" borderId="0" xfId="0" applyFont="1" applyFill="1" applyAlignment="1">
      <alignment vertical="bottom"/>
    </xf>
    <xf numFmtId="171" fontId="37" fillId="7" borderId="0" xfId="0" applyNumberFormat="1" applyFont="1" applyFill="1" applyAlignment="1">
      <alignment vertical="bottom"/>
    </xf>
    <xf numFmtId="0" fontId="38" fillId="7" borderId="0" xfId="0" applyFont="1" applyFill="1" applyAlignment="1">
      <alignment vertical="bottom"/>
    </xf>
    <xf numFmtId="168" fontId="38" fillId="7" borderId="0" xfId="0" applyNumberFormat="1" applyFont="1" applyFill="1" applyAlignment="1">
      <alignment vertical="bottom"/>
    </xf>
    <xf numFmtId="171" fontId="38" fillId="7" borderId="0" xfId="0" applyNumberFormat="1" applyFont="1" applyFill="1" applyAlignment="1">
      <alignment vertical="bottom"/>
    </xf>
    <xf numFmtId="164" fontId="38" fillId="7" borderId="0" xfId="0" applyNumberFormat="1" applyFont="1" applyFill="1" applyAlignment="1">
      <alignment vertical="bottom"/>
    </xf>
    <xf numFmtId="172" fontId="38" fillId="7" borderId="0" xfId="0" applyNumberFormat="1" applyFont="1" applyFill="1" applyAlignment="1">
      <alignment vertical="bottom"/>
    </xf>
    <xf numFmtId="171" fontId="34" fillId="7" borderId="0" xfId="0" applyNumberFormat="1" applyFont="1" applyFill="1" applyAlignment="1">
      <alignment vertical="bottom"/>
    </xf>
    <xf numFmtId="164" fontId="34" fillId="7" borderId="0" xfId="0" applyNumberFormat="1" applyFont="1" applyFill="1" applyAlignment="1">
      <alignment vertical="bottom"/>
    </xf>
    <xf numFmtId="172" fontId="34" fillId="7" borderId="0" xfId="0" applyNumberFormat="1" applyFont="1" applyFill="1" applyAlignment="1">
      <alignment vertical="bottom"/>
    </xf>
    <xf numFmtId="9" fontId="10" fillId="0" borderId="7" xfId="0" applyNumberFormat="1" applyFont="1" applyBorder="1" applyAlignment="1">
      <alignment vertical="bottom" wrapText="1"/>
    </xf>
    <xf numFmtId="164" fontId="18" fillId="0" borderId="0" xfId="0" applyNumberFormat="1" applyFont="1" applyAlignment="1">
      <alignment horizontal="right" vertical="bottom"/>
    </xf>
    <xf numFmtId="164" fontId="8" fillId="0" borderId="0" xfId="0" applyNumberFormat="1" applyFont="1" applyAlignment="1">
      <alignment horizontal="right" vertical="bottom"/>
    </xf>
    <xf numFmtId="164" fontId="27" fillId="0" borderId="0" xfId="0" applyNumberFormat="1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168" fontId="15" fillId="0" borderId="0" xfId="0" applyNumberFormat="1" applyFont="1" applyAlignment="1">
      <alignment vertical="bottom"/>
    </xf>
    <xf numFmtId="164" fontId="15" fillId="0" borderId="0" xfId="0" applyNumberFormat="1" applyFont="1" applyAlignment="1">
      <alignment horizontal="right" vertical="bottom"/>
    </xf>
    <xf numFmtId="168" fontId="9" fillId="0" borderId="0" xfId="0" applyNumberFormat="1" applyFont="1" applyAlignment="1">
      <alignment vertical="bottom"/>
    </xf>
    <xf numFmtId="164" fontId="9" fillId="0" borderId="0" xfId="0" applyNumberFormat="1" applyFont="1" applyAlignment="1">
      <alignment horizontal="right" vertical="bottom"/>
    </xf>
    <xf numFmtId="164" fontId="22" fillId="0" borderId="0" xfId="0" applyNumberFormat="1" applyFont="1" applyAlignment="1">
      <alignment horizontal="right" vertical="bottom"/>
    </xf>
    <xf numFmtId="164" fontId="22" fillId="0" borderId="0" xfId="0" applyNumberFormat="1" applyFont="1" applyAlignment="1">
      <alignment vertical="bottom"/>
    </xf>
    <xf numFmtId="9" fontId="10" fillId="0" borderId="4" xfId="0" applyNumberFormat="1" applyFont="1" applyBorder="1" applyAlignment="1">
      <alignment vertical="bottom" wrapText="1"/>
    </xf>
    <xf numFmtId="9" fontId="10" fillId="0" borderId="0" xfId="0" applyNumberFormat="1" applyFont="1" applyAlignment="1">
      <alignment vertical="bottom" wrapText="1"/>
    </xf>
    <xf numFmtId="164" fontId="15" fillId="0" borderId="0" xfId="0" applyNumberFormat="1" applyFont="1" applyAlignment="1">
      <alignment vertical="bottom"/>
    </xf>
    <xf numFmtId="164" fontId="21" fillId="0" borderId="0" xfId="0" applyNumberFormat="1" applyFont="1" applyAlignment="1">
      <alignment vertical="bottom"/>
    </xf>
    <xf numFmtId="0" fontId="39" fillId="0" borderId="0" xfId="0" applyFont="1" applyAlignment="1">
      <alignment horizontal="left" vertical="bottom" indent="1"/>
    </xf>
    <xf numFmtId="0" fontId="40" fillId="0" borderId="0" xfId="0" applyFont="1" applyAlignment="1">
      <alignment vertical="bottom"/>
    </xf>
    <xf numFmtId="0" fontId="10" fillId="0" borderId="12" xfId="0" applyFont="1" applyBorder="1" applyAlignment="1">
      <alignment vertical="bottom" wrapText="1"/>
    </xf>
    <xf numFmtId="0" fontId="10" fillId="0" borderId="6" xfId="0" applyFont="1" applyBorder="1" applyAlignment="1">
      <alignment vertical="bottom" wrapText="1"/>
    </xf>
    <xf numFmtId="0" fontId="10" fillId="0" borderId="5" xfId="0" applyFont="1" applyBorder="1" applyAlignment="1">
      <alignment vertical="bottom" wrapText="1"/>
    </xf>
    <xf numFmtId="168" fontId="18" fillId="0" borderId="12" xfId="0" applyNumberFormat="1" applyFont="1" applyBorder="1" applyAlignment="1">
      <alignment vertical="bottom"/>
    </xf>
    <xf numFmtId="164" fontId="18" fillId="0" borderId="6" xfId="0" applyNumberFormat="1" applyFont="1" applyBorder="1" applyAlignment="1">
      <alignment vertical="bottom"/>
    </xf>
    <xf numFmtId="167" fontId="41" fillId="0" borderId="11" xfId="0" applyNumberFormat="1" applyFont="1" applyBorder="1" applyAlignment="1">
      <alignment horizontal="right" vertical="bottom"/>
    </xf>
    <xf numFmtId="167" fontId="41" fillId="0" borderId="0" xfId="0" applyNumberFormat="1" applyFont="1" applyAlignment="1">
      <alignment horizontal="right" vertical="bottom"/>
    </xf>
    <xf numFmtId="0" fontId="41" fillId="0" borderId="8" xfId="0" applyFont="1" applyBorder="1" applyAlignment="1">
      <alignment vertical="bottom"/>
    </xf>
    <xf numFmtId="168" fontId="8" fillId="0" borderId="12" xfId="0" applyNumberFormat="1" applyFont="1" applyBorder="1" applyAlignment="1">
      <alignment vertical="bottom"/>
    </xf>
    <xf numFmtId="164" fontId="8" fillId="0" borderId="6" xfId="0" applyNumberFormat="1" applyFont="1" applyBorder="1" applyAlignment="1">
      <alignment vertical="bottom"/>
    </xf>
    <xf numFmtId="168" fontId="20" fillId="0" borderId="12" xfId="0" applyNumberFormat="1" applyFont="1" applyBorder="1" applyAlignment="1">
      <alignment vertical="bottom"/>
    </xf>
    <xf numFmtId="164" fontId="20" fillId="0" borderId="6" xfId="0" applyNumberFormat="1" applyFont="1" applyBorder="1" applyAlignment="1">
      <alignment vertical="bottom"/>
    </xf>
    <xf numFmtId="167" fontId="41" fillId="0" borderId="4" xfId="0" applyNumberFormat="1" applyFont="1" applyBorder="1" applyAlignment="1">
      <alignment horizontal="right" vertical="bottom"/>
    </xf>
    <xf numFmtId="0" fontId="41" fillId="0" borderId="6" xfId="0" applyFont="1" applyBorder="1" applyAlignment="1">
      <alignment vertical="bottom"/>
    </xf>
    <xf numFmtId="169" fontId="10" fillId="0" borderId="12" xfId="0" applyNumberFormat="1" applyFont="1" applyBorder="1" applyAlignment="1">
      <alignment vertical="bottom"/>
    </xf>
    <xf numFmtId="164" fontId="27" fillId="0" borderId="6" xfId="0" applyNumberFormat="1" applyFont="1" applyBorder="1" applyAlignment="1">
      <alignment vertical="bottom"/>
    </xf>
    <xf numFmtId="167" fontId="41" fillId="0" borderId="9" xfId="0" applyNumberFormat="1" applyFont="1" applyBorder="1" applyAlignment="1">
      <alignment horizontal="right" vertical="bottom"/>
    </xf>
    <xf numFmtId="0" fontId="41" fillId="0" borderId="5" xfId="0" applyFont="1" applyBorder="1" applyAlignment="1">
      <alignment horizontal="right" vertical="bottom"/>
    </xf>
    <xf numFmtId="167" fontId="41" fillId="0" borderId="5" xfId="0" applyNumberFormat="1" applyFont="1" applyBorder="1" applyAlignment="1">
      <alignment horizontal="right" vertical="bottom"/>
    </xf>
    <xf numFmtId="0" fontId="41" fillId="0" borderId="10" xfId="0" applyFont="1" applyBorder="1" applyAlignment="1">
      <alignment vertical="bottom"/>
    </xf>
    <xf numFmtId="167" fontId="41" fillId="0" borderId="0" xfId="0" applyNumberFormat="1" applyFont="1" applyAlignment="1">
      <alignment horizontal="right" vertical="bottom" wrapText="1"/>
    </xf>
    <xf numFmtId="0" fontId="9" fillId="0" borderId="12" xfId="0" applyFont="1" applyBorder="1" applyAlignment="1">
      <alignment vertical="bottom"/>
    </xf>
    <xf numFmtId="0" fontId="42" fillId="0" borderId="5" xfId="0" applyFont="1" applyBorder="1" applyAlignment="1">
      <alignment horizontal="center" vertical="bottom" wrapText="1"/>
    </xf>
    <xf numFmtId="0" fontId="42" fillId="0" borderId="13" xfId="0" applyFont="1" applyBorder="1" applyAlignment="1">
      <alignment horizontal="center" vertical="bottom" wrapText="1"/>
    </xf>
    <xf numFmtId="0" fontId="10" fillId="0" borderId="4" xfId="0" applyFont="1" applyBorder="1" applyAlignment="1">
      <alignment vertical="bottom" wrapText="1"/>
    </xf>
    <xf numFmtId="0" fontId="11" fillId="0" borderId="0" xfId="0" applyFont="1" applyAlignment="1">
      <alignment vertical="bottom" wrapText="1"/>
    </xf>
    <xf numFmtId="1" fontId="8" fillId="0" borderId="12" xfId="0" applyNumberFormat="1" applyFont="1" applyBorder="1" applyAlignment="1">
      <alignment vertical="bottom"/>
    </xf>
    <xf numFmtId="164" fontId="28" fillId="0" borderId="6" xfId="0" applyNumberFormat="1" applyFont="1" applyBorder="1" applyAlignment="1">
      <alignment vertical="bottom"/>
    </xf>
    <xf numFmtId="0" fontId="11" fillId="0" borderId="14" xfId="0" applyFont="1" applyBorder="1" applyAlignment="1">
      <alignment vertical="bottom" wrapText="1"/>
    </xf>
    <xf numFmtId="17" fontId="11" fillId="0" borderId="14" xfId="0" applyNumberFormat="1" applyFont="1" applyBorder="1" applyAlignment="1">
      <alignment vertical="bottom"/>
    </xf>
    <xf numFmtId="0" fontId="41" fillId="0" borderId="0" xfId="0" applyFont="1" applyAlignment="1">
      <alignment vertical="bottom"/>
    </xf>
    <xf numFmtId="0" fontId="41" fillId="0" borderId="0" xfId="0" applyFont="1" applyAlignment="1">
      <alignment vertical="center"/>
    </xf>
    <xf numFmtId="0" fontId="41" fillId="0" borderId="0" xfId="0" applyFont="1" applyAlignment="1">
      <alignment vertical="center" wrapText="1"/>
    </xf>
    <xf numFmtId="0" fontId="43" fillId="0" borderId="14" xfId="0" applyFont="1" applyBorder="1" applyAlignment="1">
      <alignment vertical="bottom" wrapText="1"/>
    </xf>
    <xf numFmtId="0" fontId="9" fillId="0" borderId="14" xfId="0" applyFont="1" applyBorder="1" applyAlignment="1">
      <alignment vertical="bottom"/>
    </xf>
    <xf numFmtId="0" fontId="42" fillId="0" borderId="15" xfId="0" applyFont="1" applyBorder="1" applyAlignment="1">
      <alignment vertical="bottom"/>
    </xf>
    <xf numFmtId="0" fontId="42" fillId="0" borderId="16" xfId="0" applyFont="1" applyBorder="1" applyAlignment="1">
      <alignment vertical="bottom"/>
    </xf>
    <xf numFmtId="0" fontId="9" fillId="0" borderId="16" xfId="0" applyFont="1" applyBorder="1" applyAlignment="1">
      <alignment vertical="bottom"/>
    </xf>
    <xf numFmtId="0" fontId="11" fillId="0" borderId="0" xfId="0" applyFont="1" applyAlignment="1">
      <alignment horizontal="right" vertical="bottom" wrapText="1"/>
    </xf>
    <xf numFmtId="0" fontId="11" fillId="0" borderId="4" xfId="0" applyFont="1" applyBorder="1" applyAlignment="1">
      <alignment vertical="bottom" wrapText="1"/>
    </xf>
    <xf numFmtId="0" fontId="11" fillId="0" borderId="17" xfId="0" applyFont="1" applyBorder="1" applyAlignment="1">
      <alignment vertical="bottom" wrapText="1"/>
    </xf>
    <xf numFmtId="0" fontId="11" fillId="0" borderId="18" xfId="0" applyFont="1" applyBorder="1" applyAlignment="1">
      <alignment vertical="bottom" wrapText="1"/>
    </xf>
    <xf numFmtId="0" fontId="23" fillId="0" borderId="0" xfId="0" applyFont="1" applyAlignment="1">
      <alignment horizontal="right" vertical="bottom"/>
    </xf>
    <xf numFmtId="173" fontId="18" fillId="0" borderId="0" xfId="0" applyNumberFormat="1" applyFont="1" applyAlignment="1">
      <alignment vertical="bottom"/>
    </xf>
    <xf numFmtId="174" fontId="23" fillId="0" borderId="0" xfId="0" applyNumberFormat="1" applyFont="1" applyAlignment="1">
      <alignment vertical="bottom" wrapText="1"/>
    </xf>
    <xf numFmtId="168" fontId="23" fillId="0" borderId="0" xfId="0" applyNumberFormat="1" applyFont="1" applyAlignment="1">
      <alignment vertical="bottom"/>
    </xf>
    <xf numFmtId="0" fontId="15" fillId="0" borderId="0" xfId="0" applyFont="1" applyAlignment="1">
      <alignment vertical="bottom" wrapText="1"/>
    </xf>
    <xf numFmtId="0" fontId="23" fillId="0" borderId="4" xfId="0" applyFont="1" applyBorder="1" applyAlignment="1">
      <alignment vertical="bottom"/>
    </xf>
    <xf numFmtId="174" fontId="15" fillId="0" borderId="0" xfId="0" applyNumberFormat="1" applyFont="1" applyAlignment="1">
      <alignment vertical="bottom"/>
    </xf>
    <xf numFmtId="0" fontId="23" fillId="0" borderId="17" xfId="0" applyFont="1" applyBorder="1" applyAlignment="1">
      <alignment vertical="bottom"/>
    </xf>
    <xf numFmtId="175" fontId="44" fillId="0" borderId="0" xfId="0" applyNumberFormat="1" applyFont="1" applyAlignment="1">
      <alignment vertical="center" wrapText="1"/>
    </xf>
    <xf numFmtId="175" fontId="45" fillId="0" borderId="17" xfId="0" applyNumberFormat="1" applyFont="1" applyBorder="1" applyAlignment="1">
      <alignment vertical="bottom"/>
    </xf>
    <xf numFmtId="0" fontId="11" fillId="0" borderId="0" xfId="0" applyFont="1" applyAlignment="1">
      <alignment horizontal="right" vertical="bottom"/>
    </xf>
    <xf numFmtId="173" fontId="8" fillId="0" borderId="0" xfId="0" applyNumberFormat="1" applyFont="1" applyAlignment="1">
      <alignment vertical="bottom"/>
    </xf>
    <xf numFmtId="174" fontId="10" fillId="0" borderId="0" xfId="0" applyNumberFormat="1" applyFont="1" applyAlignment="1">
      <alignment vertical="bottom"/>
    </xf>
    <xf numFmtId="168" fontId="11" fillId="0" borderId="0" xfId="0" applyNumberFormat="1" applyFont="1" applyAlignment="1">
      <alignment vertical="bottom"/>
    </xf>
    <xf numFmtId="0" fontId="11" fillId="0" borderId="4" xfId="0" applyFont="1" applyBorder="1" applyAlignment="1">
      <alignment vertical="bottom"/>
    </xf>
    <xf numFmtId="174" fontId="9" fillId="0" borderId="0" xfId="0" applyNumberFormat="1" applyFont="1" applyAlignment="1">
      <alignment vertical="bottom"/>
    </xf>
    <xf numFmtId="0" fontId="11" fillId="0" borderId="17" xfId="0" applyFont="1" applyBorder="1" applyAlignment="1">
      <alignment vertical="bottom"/>
    </xf>
    <xf numFmtId="175" fontId="46" fillId="0" borderId="0" xfId="0" applyNumberFormat="1" applyFont="1" applyAlignment="1">
      <alignment vertical="bottom"/>
    </xf>
    <xf numFmtId="175" fontId="41" fillId="0" borderId="0" xfId="0" applyNumberFormat="1" applyFont="1" applyAlignment="1">
      <alignment vertical="bottom"/>
    </xf>
    <xf numFmtId="0" fontId="9" fillId="0" borderId="0" xfId="0" applyFont="1" applyAlignment="1">
      <alignment vertical="bottom" wrapText="1"/>
    </xf>
    <xf numFmtId="175" fontId="41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vertical="bottom" wrapText="1"/>
    </xf>
    <xf numFmtId="0" fontId="11" fillId="0" borderId="4" xfId="0" applyFont="1" applyBorder="1" applyAlignment="1">
      <alignment horizontal="right" vertical="bottom"/>
    </xf>
    <xf numFmtId="175" fontId="47" fillId="0" borderId="0" xfId="0" applyNumberFormat="1" applyFont="1" applyAlignment="1">
      <alignment vertical="center" wrapText="1"/>
    </xf>
    <xf numFmtId="175" fontId="41" fillId="8" borderId="0" xfId="0" applyNumberFormat="1" applyFont="1" applyFill="1" applyAlignment="1">
      <alignment horizontal="right" vertical="center"/>
    </xf>
    <xf numFmtId="174" fontId="21" fillId="0" borderId="0" xfId="0" applyNumberFormat="1" applyFont="1" applyAlignment="1">
      <alignment vertical="bottom"/>
    </xf>
    <xf numFmtId="0" fontId="47" fillId="0" borderId="0" xfId="0" applyFont="1" applyAlignment="1">
      <alignment vertical="center" wrapText="1"/>
    </xf>
    <xf numFmtId="175" fontId="48" fillId="0" borderId="17" xfId="0" applyNumberFormat="1" applyFont="1" applyBorder="1" applyAlignment="1">
      <alignment vertical="bottom"/>
    </xf>
    <xf numFmtId="0" fontId="47" fillId="0" borderId="0" xfId="0" applyFont="1" applyAlignment="1">
      <alignment vertical="bottom"/>
    </xf>
    <xf numFmtId="0" fontId="47" fillId="0" borderId="0" xfId="0" applyFont="1" applyAlignment="1">
      <alignment horizontal="right" vertical="center"/>
    </xf>
    <xf numFmtId="175" fontId="47" fillId="0" borderId="0" xfId="0" applyNumberFormat="1" applyFont="1" applyAlignment="1">
      <alignment horizontal="right" vertical="center"/>
    </xf>
    <xf numFmtId="175" fontId="47" fillId="0" borderId="0" xfId="0" applyNumberFormat="1" applyFont="1" applyAlignment="1">
      <alignment vertical="bottom"/>
    </xf>
    <xf numFmtId="169" fontId="11" fillId="0" borderId="0" xfId="0" applyNumberFormat="1" applyFont="1" applyAlignment="1">
      <alignment vertical="bottom"/>
    </xf>
    <xf numFmtId="1" fontId="9" fillId="0" borderId="0" xfId="0" applyNumberFormat="1" applyFont="1" applyAlignment="1">
      <alignment vertical="bottom"/>
    </xf>
    <xf numFmtId="169" fontId="47" fillId="0" borderId="0" xfId="0" applyNumberFormat="1" applyFont="1" applyAlignment="1">
      <alignment vertical="bottom"/>
    </xf>
    <xf numFmtId="169" fontId="47" fillId="0" borderId="0" xfId="0" applyNumberFormat="1" applyFont="1" applyAlignment="1">
      <alignment vertical="bottom" wrapText="1"/>
    </xf>
    <xf numFmtId="166" fontId="9" fillId="0" borderId="0" xfId="0" applyNumberFormat="1" applyFont="1" applyAlignment="1">
      <alignment vertical="bottom"/>
    </xf>
    <xf numFmtId="176" fontId="9" fillId="0" borderId="0" xfId="0" applyNumberFormat="1" applyFont="1" applyAlignment="1">
      <alignment vertical="bottom"/>
    </xf>
    <xf numFmtId="169" fontId="47" fillId="8" borderId="0" xfId="0" applyNumberFormat="1" applyFont="1" applyFill="1" applyAlignment="1">
      <alignment vertical="bottom" wrapText="1"/>
    </xf>
    <xf numFmtId="0" fontId="47" fillId="8" borderId="0" xfId="0" applyFont="1" applyFill="1" applyAlignment="1">
      <alignment vertical="bottom" wrapText="1"/>
    </xf>
    <xf numFmtId="175" fontId="21" fillId="0" borderId="0" xfId="0" applyNumberFormat="1" applyFont="1" applyAlignment="1">
      <alignment vertical="bottom"/>
    </xf>
    <xf numFmtId="0" fontId="9" fillId="0" borderId="4" xfId="0" applyFont="1" applyBorder="1" applyAlignment="1">
      <alignment vertical="bottom"/>
    </xf>
    <xf numFmtId="0" fontId="43" fillId="0" borderId="0" xfId="0" applyFont="1" applyAlignment="1">
      <alignment vertical="bottom" wrapText="1"/>
    </xf>
    <xf numFmtId="17" fontId="11" fillId="0" borderId="0" xfId="0" applyNumberFormat="1" applyFont="1" applyAlignment="1">
      <alignment vertical="bottom"/>
    </xf>
    <xf numFmtId="173" fontId="14" fillId="0" borderId="0" xfId="0" applyNumberFormat="1" applyFont="1" applyAlignment="1">
      <alignment vertical="bottom"/>
    </xf>
    <xf numFmtId="10" fontId="23" fillId="0" borderId="0" xfId="0" applyNumberFormat="1" applyFont="1" applyAlignment="1">
      <alignment vertical="bottom" wrapText="1"/>
    </xf>
    <xf numFmtId="0" fontId="49" fillId="0" borderId="0" xfId="0" applyFont="1" applyAlignment="1">
      <alignment horizontal="left" vertical="bottom" wrapText="1"/>
    </xf>
    <xf numFmtId="0" fontId="50" fillId="0" borderId="0" xfId="0" applyFont="1" applyAlignment="1">
      <alignment vertical="bottom"/>
    </xf>
    <xf numFmtId="0" fontId="10" fillId="0" borderId="12" xfId="0" applyFont="1" applyBorder="1" applyAlignment="1">
      <alignment horizontal="center" vertical="bottom" wrapText="1"/>
    </xf>
    <xf numFmtId="0" fontId="11" fillId="0" borderId="6" xfId="0" applyFont="1" applyBorder="1" applyAlignment="1">
      <alignment vertical="bottom" wrapText="1"/>
    </xf>
    <xf numFmtId="0" fontId="10" fillId="0" borderId="19" xfId="0" applyFont="1" applyBorder="1" applyAlignment="1">
      <alignment vertical="bottom" wrapText="1"/>
    </xf>
    <xf numFmtId="0" fontId="10" fillId="0" borderId="19" xfId="0" applyFont="1" applyBorder="1" applyAlignment="1">
      <alignment horizontal="center" vertical="bottom" wrapText="1"/>
    </xf>
    <xf numFmtId="0" fontId="51" fillId="0" borderId="0" xfId="0" applyFont="1" applyAlignment="1">
      <alignment vertical="bottom" wrapText="1"/>
    </xf>
    <xf numFmtId="164" fontId="4" fillId="0" borderId="6" xfId="0" applyNumberFormat="1" applyFont="1" applyBorder="1" applyAlignment="1">
      <alignment vertical="bottom"/>
    </xf>
    <xf numFmtId="168" fontId="18" fillId="0" borderId="19" xfId="0" applyNumberFormat="1" applyFont="1" applyBorder="1" applyAlignment="1">
      <alignment vertical="bottom"/>
    </xf>
    <xf numFmtId="164" fontId="8" fillId="3" borderId="0" xfId="0" applyNumberFormat="1" applyFont="1" applyFill="1" applyAlignment="1">
      <alignment vertical="bottom"/>
    </xf>
    <xf numFmtId="168" fontId="8" fillId="0" borderId="19" xfId="0" applyNumberFormat="1" applyFont="1" applyBorder="1" applyAlignment="1">
      <alignment vertical="bottom"/>
    </xf>
    <xf numFmtId="164" fontId="8" fillId="3" borderId="6" xfId="0" applyNumberFormat="1" applyFont="1" applyFill="1" applyBorder="1" applyAlignment="1">
      <alignment vertical="bottom"/>
    </xf>
    <xf numFmtId="164" fontId="20" fillId="3" borderId="0" xfId="0" applyNumberFormat="1" applyFont="1" applyFill="1" applyAlignment="1">
      <alignment vertical="bottom"/>
    </xf>
    <xf numFmtId="168" fontId="52" fillId="0" borderId="12" xfId="0" applyNumberFormat="1" applyFont="1" applyBorder="1" applyAlignment="1">
      <alignment vertical="bottom"/>
    </xf>
    <xf numFmtId="164" fontId="20" fillId="3" borderId="6" xfId="0" applyNumberFormat="1" applyFont="1" applyFill="1" applyBorder="1" applyAlignment="1">
      <alignment vertical="bottom"/>
    </xf>
    <xf numFmtId="168" fontId="52" fillId="0" borderId="19" xfId="0" applyNumberFormat="1" applyFont="1" applyBorder="1" applyAlignment="1">
      <alignment vertical="bottom"/>
    </xf>
    <xf numFmtId="1" fontId="52" fillId="0" borderId="19" xfId="0" applyNumberFormat="1" applyFont="1" applyBorder="1" applyAlignment="1">
      <alignment vertical="bottom"/>
    </xf>
    <xf numFmtId="1" fontId="52" fillId="0" borderId="12" xfId="0" applyNumberFormat="1" applyFont="1" applyBorder="1" applyAlignment="1">
      <alignment vertical="bottom"/>
    </xf>
    <xf numFmtId="1" fontId="52" fillId="0" borderId="0" xfId="0" applyNumberFormat="1" applyFont="1" applyAlignment="1">
      <alignment vertical="bottom"/>
    </xf>
    <xf numFmtId="0" fontId="42" fillId="0" borderId="0" xfId="0" applyFont="1" applyAlignment="1">
      <alignment vertical="bottom"/>
    </xf>
    <xf numFmtId="9" fontId="5" fillId="0" borderId="0" xfId="0" applyNumberFormat="1" applyFont="1" applyAlignment="1">
      <alignment vertical="bottom"/>
    </xf>
    <xf numFmtId="9" fontId="9" fillId="0" borderId="0" xfId="0" applyNumberFormat="1" applyFont="1" applyAlignment="1">
      <alignment vertical="bottom"/>
    </xf>
    <xf numFmtId="175" fontId="15" fillId="0" borderId="0" xfId="0" applyNumberFormat="1" applyFont="1" applyAlignment="1">
      <alignment vertical="center" wrapText="1"/>
    </xf>
    <xf numFmtId="175" fontId="23" fillId="0" borderId="17" xfId="0" applyNumberFormat="1" applyFont="1" applyBorder="1" applyAlignment="1">
      <alignment vertical="bottom"/>
    </xf>
    <xf numFmtId="175" fontId="9" fillId="0" borderId="0" xfId="0" applyNumberFormat="1" applyFont="1" applyAlignment="1">
      <alignment vertical="center" wrapText="1"/>
    </xf>
    <xf numFmtId="177" fontId="53" fillId="0" borderId="0" xfId="0" applyNumberFormat="1" applyFont="1" applyAlignment="1">
      <alignment horizontal="right" vertical="bottom"/>
    </xf>
    <xf numFmtId="175" fontId="11" fillId="0" borderId="17" xfId="0" applyNumberFormat="1" applyFont="1" applyBorder="1" applyAlignment="1">
      <alignment vertical="bottom"/>
    </xf>
    <xf numFmtId="178" fontId="53" fillId="0" borderId="0" xfId="0" applyNumberFormat="1" applyFont="1" applyAlignment="1">
      <alignment horizontal="right" vertical="bottom"/>
    </xf>
    <xf numFmtId="0" fontId="53" fillId="0" borderId="0" xfId="0" applyFont="1" applyAlignment="1">
      <alignment vertical="bottom"/>
    </xf>
    <xf numFmtId="169" fontId="53" fillId="0" borderId="0" xfId="0" applyNumberFormat="1" applyFont="1" applyAlignment="1">
      <alignment vertical="bottom"/>
    </xf>
    <xf numFmtId="0" fontId="53" fillId="8" borderId="0" xfId="0" applyFont="1" applyFill="1" applyAlignment="1">
      <alignment horizontal="right" vertical="center"/>
    </xf>
    <xf numFmtId="0" fontId="53" fillId="8" borderId="20" xfId="0" applyFont="1" applyFill="1" applyBorder="1" applyAlignment="1">
      <alignment horizontal="right" vertical="center"/>
    </xf>
    <xf numFmtId="175" fontId="11" fillId="0" borderId="0" xfId="0" applyNumberFormat="1" applyFont="1" applyAlignment="1">
      <alignment vertical="bottom"/>
    </xf>
    <xf numFmtId="9" fontId="8" fillId="0" borderId="0" xfId="0" applyNumberFormat="1" applyFont="1" applyAlignment="1">
      <alignment vertical="bottom"/>
    </xf>
    <xf numFmtId="167" fontId="8" fillId="0" borderId="0" xfId="0" applyNumberFormat="1" applyFont="1" applyAlignment="1">
      <alignment horizontal="right" vertical="bottom"/>
    </xf>
    <xf numFmtId="0" fontId="8" fillId="0" borderId="0" xfId="0" applyFont="1" applyAlignment="1">
      <alignment horizontal="right" vertical="bottom"/>
    </xf>
    <xf numFmtId="166" fontId="8" fillId="0" borderId="0" xfId="0" applyNumberFormat="1" applyFont="1" applyAlignment="1">
      <alignment horizontal="right" vertical="bottom"/>
    </xf>
    <xf numFmtId="166" fontId="52" fillId="0" borderId="0" xfId="0" applyNumberFormat="1" applyFont="1" applyAlignment="1">
      <alignment vertical="bottom"/>
    </xf>
    <xf numFmtId="166" fontId="27" fillId="0" borderId="0" xfId="0" applyNumberFormat="1" applyFont="1" applyAlignment="1">
      <alignment horizontal="right" vertical="bottom"/>
    </xf>
    <xf numFmtId="166" fontId="54" fillId="0" borderId="0" xfId="0" applyNumberFormat="1" applyFont="1" applyAlignment="1">
      <alignment horizontal="right" vertical="bottom"/>
    </xf>
    <xf numFmtId="169" fontId="8" fillId="0" borderId="0" xfId="0" applyNumberFormat="1" applyFont="1" applyAlignment="1">
      <alignment vertical="bottom"/>
    </xf>
    <xf numFmtId="169" fontId="8" fillId="0" borderId="0" xfId="0" applyNumberFormat="1" applyFont="1" applyAlignment="1">
      <alignment horizontal="right" vertical="bottom"/>
    </xf>
    <xf numFmtId="0" fontId="9" fillId="0" borderId="0" xfId="0" applyFont="1" applyAlignment="1">
      <alignment horizontal="left" vertical="bottom" indent="4"/>
    </xf>
    <xf numFmtId="4" fontId="8" fillId="0" borderId="0" xfId="0" applyNumberFormat="1" applyFont="1" applyAlignment="1">
      <alignment vertical="bottom"/>
    </xf>
    <xf numFmtId="4" fontId="8" fillId="0" borderId="0" xfId="0" applyNumberFormat="1" applyFont="1" applyAlignment="1">
      <alignment horizontal="right" vertical="bottom"/>
    </xf>
    <xf numFmtId="4" fontId="27" fillId="0" borderId="0" xfId="0" applyNumberFormat="1" applyFont="1" applyAlignment="1">
      <alignment vertical="bottom"/>
    </xf>
    <xf numFmtId="2" fontId="28" fillId="0" borderId="0" xfId="0" applyNumberFormat="1" applyFont="1" applyAlignment="1">
      <alignment vertical="bottom"/>
    </xf>
    <xf numFmtId="3" fontId="27" fillId="0" borderId="0" xfId="0" applyNumberFormat="1" applyFont="1" applyAlignment="1">
      <alignment vertical="bottom"/>
    </xf>
    <xf numFmtId="0" fontId="13" fillId="0" borderId="16" xfId="0" applyFont="1" applyBorder="1" applyAlignment="1">
      <alignment vertical="bottom"/>
    </xf>
    <xf numFmtId="0" fontId="8" fillId="0" borderId="21" xfId="0" applyFont="1" applyBorder="1" applyAlignment="1">
      <alignment vertical="bottom"/>
    </xf>
    <xf numFmtId="0" fontId="8" fillId="0" borderId="16" xfId="0" applyFont="1" applyBorder="1" applyAlignment="1">
      <alignment vertical="bottom"/>
    </xf>
    <xf numFmtId="0" fontId="13" fillId="0" borderId="22" xfId="0" applyFont="1" applyBorder="1" applyAlignment="1">
      <alignment vertical="bottom"/>
    </xf>
    <xf numFmtId="10" fontId="27" fillId="0" borderId="23" xfId="0" applyNumberFormat="1" applyFont="1" applyBorder="1" applyAlignment="1">
      <alignment vertical="bottom" wrapText="1"/>
    </xf>
    <xf numFmtId="0" fontId="10" fillId="0" borderId="24" xfId="0" applyFont="1" applyBorder="1" applyAlignment="1">
      <alignment vertical="bottom" wrapText="1"/>
    </xf>
    <xf numFmtId="10" fontId="8" fillId="0" borderId="23" xfId="0" applyNumberFormat="1" applyFont="1" applyBorder="1" applyAlignment="1">
      <alignment vertical="bottom" wrapText="1"/>
    </xf>
    <xf numFmtId="166" fontId="8" fillId="0" borderId="0" xfId="0" applyNumberFormat="1" applyFont="1" applyAlignment="1">
      <alignment vertical="bottom" wrapText="1"/>
    </xf>
    <xf numFmtId="0" fontId="8" fillId="0" borderId="25" xfId="0" applyFont="1" applyBorder="1" applyAlignment="1">
      <alignment vertical="bottom"/>
    </xf>
    <xf numFmtId="166" fontId="8" fillId="0" borderId="26" xfId="0" applyNumberFormat="1" applyFont="1" applyBorder="1" applyAlignment="1">
      <alignment vertical="bottom" wrapText="1"/>
    </xf>
    <xf numFmtId="0" fontId="8" fillId="0" borderId="24" xfId="0" applyFont="1" applyBorder="1" applyAlignment="1">
      <alignment vertical="bottom"/>
    </xf>
    <xf numFmtId="10" fontId="27" fillId="0" borderId="27" xfId="0" applyNumberFormat="1" applyFont="1" applyBorder="1" applyAlignment="1">
      <alignment vertical="bottom"/>
    </xf>
    <xf numFmtId="0" fontId="10" fillId="0" borderId="28" xfId="0" applyFont="1" applyBorder="1" applyAlignment="1">
      <alignment vertical="bottom" wrapText="1"/>
    </xf>
    <xf numFmtId="10" fontId="8" fillId="0" borderId="27" xfId="0" applyNumberFormat="1" applyFont="1" applyBorder="1" applyAlignment="1">
      <alignment vertical="bottom"/>
    </xf>
    <xf numFmtId="10" fontId="8" fillId="0" borderId="14" xfId="0" applyNumberFormat="1" applyFont="1" applyBorder="1" applyAlignment="1">
      <alignment vertical="bottom"/>
    </xf>
    <xf numFmtId="166" fontId="8" fillId="0" borderId="14" xfId="0" applyNumberFormat="1" applyFont="1" applyBorder="1" applyAlignment="1">
      <alignment vertical="bottom"/>
    </xf>
    <xf numFmtId="0" fontId="8" fillId="0" borderId="28" xfId="0" applyFont="1" applyBorder="1" applyAlignment="1">
      <alignment vertical="bottom"/>
    </xf>
    <xf numFmtId="0" fontId="8" fillId="0" borderId="14" xfId="0" applyFont="1" applyBorder="1" applyAlignment="1">
      <alignment vertical="bottom"/>
    </xf>
    <xf numFmtId="166" fontId="8" fillId="0" borderId="27" xfId="0" applyNumberFormat="1" applyFont="1" applyBorder="1" applyAlignment="1">
      <alignment vertical="bottom"/>
    </xf>
    <xf numFmtId="0" fontId="10" fillId="0" borderId="29" xfId="0" applyFont="1" applyBorder="1" applyAlignment="1">
      <alignment vertical="bottom"/>
    </xf>
    <xf numFmtId="0" fontId="10" fillId="0" borderId="30" xfId="0" applyFont="1" applyBorder="1" applyAlignment="1">
      <alignment vertical="bottom"/>
    </xf>
    <xf numFmtId="0" fontId="10" fillId="0" borderId="31" xfId="0" applyFont="1" applyBorder="1" applyAlignment="1">
      <alignment vertical="bottom"/>
    </xf>
    <xf numFmtId="0" fontId="8" fillId="0" borderId="26" xfId="0" applyFont="1" applyBorder="1" applyAlignment="1">
      <alignment vertical="bottom"/>
    </xf>
    <xf numFmtId="10" fontId="8" fillId="0" borderId="25" xfId="0" applyNumberFormat="1" applyFont="1" applyBorder="1" applyAlignment="1">
      <alignment vertical="bottom"/>
    </xf>
    <xf numFmtId="166" fontId="8" fillId="0" borderId="25" xfId="0" applyNumberFormat="1" applyFont="1" applyBorder="1" applyAlignment="1">
      <alignment vertical="bottom"/>
    </xf>
    <xf numFmtId="0" fontId="8" fillId="0" borderId="27" xfId="0" applyFont="1" applyBorder="1" applyAlignment="1">
      <alignment vertical="bottom"/>
    </xf>
    <xf numFmtId="10" fontId="8" fillId="0" borderId="28" xfId="0" applyNumberFormat="1" applyFont="1" applyBorder="1" applyAlignment="1">
      <alignment vertical="bottom"/>
    </xf>
    <xf numFmtId="166" fontId="8" fillId="0" borderId="28" xfId="0" applyNumberFormat="1" applyFont="1" applyBorder="1" applyAlignment="1">
      <alignment vertical="bottom"/>
    </xf>
    <xf numFmtId="0" fontId="10" fillId="0" borderId="32" xfId="0" applyFont="1" applyBorder="1" applyAlignment="1">
      <alignment vertical="bottom"/>
    </xf>
    <xf numFmtId="0" fontId="27" fillId="0" borderId="0" xfId="0" applyFont="1" applyAlignment="1">
      <alignment vertical="bottom"/>
    </xf>
    <xf numFmtId="4" fontId="55" fillId="0" borderId="0" xfId="0" applyNumberFormat="1" applyFont="1" applyAlignment="1">
      <alignment vertical="bottom"/>
    </xf>
    <xf numFmtId="4" fontId="8" fillId="0" borderId="25" xfId="0" applyNumberFormat="1" applyFont="1" applyBorder="1" applyAlignment="1">
      <alignment vertical="bottom"/>
    </xf>
    <xf numFmtId="4" fontId="8" fillId="0" borderId="33" xfId="0" applyNumberFormat="1" applyFont="1" applyBorder="1" applyAlignment="1">
      <alignment vertical="bottom"/>
    </xf>
    <xf numFmtId="10" fontId="28" fillId="0" borderId="0" xfId="0" applyNumberFormat="1" applyFont="1" applyAlignment="1">
      <alignment vertical="bottom"/>
    </xf>
    <xf numFmtId="174" fontId="28" fillId="0" borderId="0" xfId="0" applyNumberFormat="1" applyFont="1" applyAlignment="1">
      <alignment vertical="bottom"/>
    </xf>
    <xf numFmtId="4" fontId="8" fillId="0" borderId="25" xfId="0" applyNumberFormat="1" applyFont="1" applyBorder="1" applyAlignment="1">
      <alignment horizontal="right" vertical="bottom"/>
    </xf>
    <xf numFmtId="0" fontId="8" fillId="0" borderId="34" xfId="0" applyFont="1" applyBorder="1" applyAlignment="1">
      <alignment vertical="bottom"/>
    </xf>
    <xf numFmtId="4" fontId="56" fillId="0" borderId="33" xfId="0" applyNumberFormat="1" applyFont="1" applyBorder="1" applyAlignment="1">
      <alignment vertical="bottom"/>
    </xf>
    <xf numFmtId="4" fontId="27" fillId="0" borderId="25" xfId="0" applyNumberFormat="1" applyFont="1" applyBorder="1" applyAlignment="1">
      <alignment vertical="bottom"/>
    </xf>
    <xf numFmtId="4" fontId="51" fillId="0" borderId="25" xfId="0" applyNumberFormat="1" applyFont="1" applyBorder="1" applyAlignment="1">
      <alignment vertical="bottom"/>
    </xf>
    <xf numFmtId="4" fontId="51" fillId="0" borderId="0" xfId="0" applyNumberFormat="1" applyFont="1" applyAlignment="1">
      <alignment vertical="bottom"/>
    </xf>
    <xf numFmtId="4" fontId="28" fillId="0" borderId="0" xfId="0" applyNumberFormat="1" applyFont="1" applyAlignment="1">
      <alignment vertical="bottom"/>
    </xf>
    <xf numFmtId="4" fontId="20" fillId="0" borderId="25" xfId="0" applyNumberFormat="1" applyFont="1" applyBorder="1" applyAlignment="1">
      <alignment vertical="bottom"/>
    </xf>
    <xf numFmtId="4" fontId="14" fillId="0" borderId="25" xfId="0" applyNumberFormat="1" applyFont="1" applyBorder="1" applyAlignment="1">
      <alignment vertical="bottom"/>
    </xf>
    <xf numFmtId="4" fontId="56" fillId="0" borderId="0" xfId="0" applyNumberFormat="1" applyFont="1" applyAlignment="1">
      <alignment vertical="bottom"/>
    </xf>
    <xf numFmtId="0" fontId="27" fillId="0" borderId="34" xfId="0" applyFont="1" applyBorder="1" applyAlignment="1">
      <alignment horizontal="right" vertical="bottom"/>
    </xf>
    <xf numFmtId="174" fontId="27" fillId="0" borderId="33" xfId="0" applyNumberFormat="1" applyFont="1" applyBorder="1" applyAlignment="1">
      <alignment vertical="bottom"/>
    </xf>
    <xf numFmtId="0" fontId="27" fillId="0" borderId="35" xfId="0" applyFont="1" applyBorder="1" applyAlignment="1">
      <alignment horizontal="right" vertical="bottom"/>
    </xf>
    <xf numFmtId="0" fontId="27" fillId="0" borderId="26" xfId="0" applyFont="1" applyBorder="1" applyAlignment="1">
      <alignment horizontal="right" vertical="bottom"/>
    </xf>
    <xf numFmtId="174" fontId="27" fillId="0" borderId="25" xfId="0" applyNumberFormat="1" applyFont="1" applyBorder="1" applyAlignment="1">
      <alignment vertical="bottom"/>
    </xf>
    <xf numFmtId="0" fontId="27" fillId="0" borderId="27" xfId="0" applyFont="1" applyBorder="1" applyAlignment="1">
      <alignment horizontal="right" vertical="bottom"/>
    </xf>
    <xf numFmtId="174" fontId="27" fillId="0" borderId="28" xfId="0" applyNumberFormat="1" applyFont="1" applyBorder="1" applyAlignment="1">
      <alignment vertical="bottom"/>
    </xf>
    <xf numFmtId="0" fontId="27" fillId="0" borderId="14" xfId="0" applyFont="1" applyBorder="1" applyAlignment="1">
      <alignment horizontal="right" vertical="bottom"/>
    </xf>
    <xf numFmtId="0" fontId="51" fillId="0" borderId="0" xfId="0" applyFont="1" applyAlignment="1">
      <alignment vertical="bottom"/>
    </xf>
    <xf numFmtId="0" fontId="27" fillId="0" borderId="0" xfId="0" applyFont="1" applyAlignment="1">
      <alignment horizontal="left" vertical="bottom" indent="4"/>
    </xf>
    <xf numFmtId="0" fontId="8" fillId="0" borderId="0" xfId="0" applyFont="1" applyAlignment="1">
      <alignment horizontal="left" vertical="bottom" indent="4"/>
    </xf>
    <xf numFmtId="0" fontId="10" fillId="9" borderId="36" xfId="0" applyFont="1" applyFill="1" applyBorder="1" applyAlignment="1">
      <alignment horizontal="center" vertical="bottom" wrapText="1"/>
    </xf>
    <xf numFmtId="0" fontId="8" fillId="10" borderId="36" xfId="0" applyFont="1" applyFill="1" applyBorder="1" applyAlignment="1">
      <alignment horizontal="center" vertical="bottom" wrapText="1"/>
    </xf>
    <xf numFmtId="167" fontId="8" fillId="10" borderId="36" xfId="0" applyNumberFormat="1" applyFont="1" applyFill="1" applyBorder="1" applyAlignment="1">
      <alignment horizontal="center" vertical="bottom" wrapText="1"/>
    </xf>
    <xf numFmtId="10" fontId="8" fillId="10" borderId="36" xfId="0" applyNumberFormat="1" applyFont="1" applyFill="1" applyBorder="1" applyAlignment="1">
      <alignment horizontal="center" vertical="bottom" wrapText="1"/>
    </xf>
    <xf numFmtId="9" fontId="8" fillId="10" borderId="36" xfId="0" applyNumberFormat="1" applyFont="1" applyFill="1" applyBorder="1" applyAlignment="1">
      <alignment horizontal="center" vertical="bottom" wrapText="1"/>
    </xf>
    <xf numFmtId="0" fontId="8" fillId="11" borderId="36" xfId="0" applyFont="1" applyFill="1" applyBorder="1" applyAlignment="1">
      <alignment horizontal="center" vertical="bottom" wrapText="1"/>
    </xf>
    <xf numFmtId="167" fontId="8" fillId="11" borderId="36" xfId="0" applyNumberFormat="1" applyFont="1" applyFill="1" applyBorder="1" applyAlignment="1">
      <alignment horizontal="center" vertical="bottom" wrapText="1"/>
    </xf>
    <xf numFmtId="10" fontId="8" fillId="11" borderId="36" xfId="0" applyNumberFormat="1" applyFont="1" applyFill="1" applyBorder="1" applyAlignment="1">
      <alignment horizontal="center" vertical="bottom" wrapText="1"/>
    </xf>
    <xf numFmtId="9" fontId="8" fillId="11" borderId="36" xfId="0" applyNumberFormat="1" applyFont="1" applyFill="1" applyBorder="1" applyAlignment="1">
      <alignment horizontal="center" vertical="bottom" wrapText="1"/>
    </xf>
    <xf numFmtId="0" fontId="8" fillId="0" borderId="36" xfId="0" applyFont="1" applyBorder="1" applyAlignment="1">
      <alignment horizontal="center" vertical="bottom" wrapText="1"/>
    </xf>
    <xf numFmtId="167" fontId="8" fillId="0" borderId="36" xfId="0" applyNumberFormat="1" applyFont="1" applyBorder="1" applyAlignment="1">
      <alignment horizontal="center" vertical="bottom" wrapText="1"/>
    </xf>
    <xf numFmtId="10" fontId="8" fillId="0" borderId="36" xfId="0" applyNumberFormat="1" applyFont="1" applyBorder="1" applyAlignment="1">
      <alignment horizontal="center" vertical="bottom" wrapText="1"/>
    </xf>
    <xf numFmtId="9" fontId="8" fillId="0" borderId="36" xfId="0" applyNumberFormat="1" applyFont="1" applyBorder="1" applyAlignment="1">
      <alignment horizontal="center" vertical="bottom" wrapText="1"/>
    </xf>
    <xf numFmtId="0" fontId="8" fillId="12" borderId="36" xfId="0" applyFont="1" applyFill="1" applyBorder="1" applyAlignment="1">
      <alignment horizontal="center" vertical="bottom" wrapText="1"/>
    </xf>
    <xf numFmtId="167" fontId="8" fillId="12" borderId="36" xfId="0" applyNumberFormat="1" applyFont="1" applyFill="1" applyBorder="1" applyAlignment="1">
      <alignment horizontal="center" vertical="bottom" wrapText="1"/>
    </xf>
    <xf numFmtId="10" fontId="8" fillId="12" borderId="36" xfId="0" applyNumberFormat="1" applyFont="1" applyFill="1" applyBorder="1" applyAlignment="1">
      <alignment horizontal="center" vertical="bottom" wrapText="1"/>
    </xf>
    <xf numFmtId="9" fontId="8" fillId="12" borderId="36" xfId="0" applyNumberFormat="1" applyFont="1" applyFill="1" applyBorder="1" applyAlignment="1">
      <alignment horizontal="center" vertical="bottom" wrapText="1"/>
    </xf>
    <xf numFmtId="0" fontId="13" fillId="0" borderId="0" xfId="0" applyFont="1" applyAlignment="1">
      <alignment horizontal="left" vertical="bottom" wrapText="1"/>
    </xf>
    <xf numFmtId="0" fontId="10" fillId="0" borderId="0" xfId="0" applyFont="1" applyAlignment="1">
      <alignment horizontal="right" vertical="bottom" wrapText="1"/>
    </xf>
    <xf numFmtId="10" fontId="10" fillId="0" borderId="0" xfId="0" applyNumberFormat="1" applyFont="1" applyAlignment="1">
      <alignment vertical="bottom"/>
    </xf>
    <xf numFmtId="0" fontId="10" fillId="9" borderId="37" xfId="0" applyFont="1" applyFill="1" applyBorder="1" applyAlignment="1">
      <alignment horizontal="center" vertical="bottom" wrapText="1"/>
    </xf>
    <xf numFmtId="0" fontId="10" fillId="9" borderId="38" xfId="0" applyFont="1" applyFill="1" applyBorder="1" applyAlignment="1">
      <alignment horizontal="center" vertical="bottom" wrapText="1"/>
    </xf>
    <xf numFmtId="0" fontId="8" fillId="10" borderId="37" xfId="0" applyFont="1" applyFill="1" applyBorder="1" applyAlignment="1">
      <alignment horizontal="center" vertical="bottom" wrapText="1"/>
    </xf>
    <xf numFmtId="9" fontId="8" fillId="10" borderId="37" xfId="0" applyNumberFormat="1" applyFont="1" applyFill="1" applyBorder="1" applyAlignment="1">
      <alignment horizontal="center" vertical="bottom" wrapText="1"/>
    </xf>
    <xf numFmtId="10" fontId="8" fillId="10" borderId="38" xfId="0" applyNumberFormat="1" applyFont="1" applyFill="1" applyBorder="1" applyAlignment="1">
      <alignment horizontal="center" vertical="bottom" wrapText="1"/>
    </xf>
    <xf numFmtId="0" fontId="8" fillId="11" borderId="37" xfId="0" applyFont="1" applyFill="1" applyBorder="1" applyAlignment="1">
      <alignment horizontal="center" vertical="bottom" wrapText="1"/>
    </xf>
    <xf numFmtId="10" fontId="8" fillId="11" borderId="38" xfId="0" applyNumberFormat="1" applyFont="1" applyFill="1" applyBorder="1" applyAlignment="1">
      <alignment horizontal="center" vertical="bottom" wrapText="1"/>
    </xf>
    <xf numFmtId="9" fontId="8" fillId="11" borderId="37" xfId="0" applyNumberFormat="1" applyFont="1" applyFill="1" applyBorder="1" applyAlignment="1">
      <alignment horizontal="center" vertical="bottom" wrapText="1"/>
    </xf>
    <xf numFmtId="167" fontId="8" fillId="10" borderId="39" xfId="0" applyNumberFormat="1" applyFont="1" applyFill="1" applyBorder="1" applyAlignment="1">
      <alignment horizontal="center" vertical="bottom" wrapText="1"/>
    </xf>
    <xf numFmtId="0" fontId="57" fillId="0" borderId="0" xfId="0" applyFont="1" applyAlignment="1">
      <alignment vertical="bottom"/>
    </xf>
    <xf numFmtId="0" fontId="58" fillId="0" borderId="0" xfId="0" applyFont="1" applyAlignment="1">
      <alignment vertical="bottom"/>
    </xf>
    <xf numFmtId="0" fontId="11" fillId="0" borderId="14" xfId="0" applyFont="1" applyBorder="1" applyAlignment="1">
      <alignment horizontal="left" vertical="bottom" wrapText="1"/>
    </xf>
    <xf numFmtId="0" fontId="11" fillId="0" borderId="14" xfId="0" applyFont="1" applyBorder="1" applyAlignment="1">
      <alignment horizontal="right" vertical="bottom" wrapText="1"/>
    </xf>
    <xf numFmtId="0" fontId="11" fillId="0" borderId="14" xfId="0" applyFont="1" applyBorder="1" applyAlignment="1">
      <alignment vertical="bottom"/>
    </xf>
    <xf numFmtId="0" fontId="59" fillId="0" borderId="0" xfId="0" applyFont="1" applyAlignment="1">
      <alignment vertical="bottom"/>
    </xf>
    <xf numFmtId="179" fontId="5" fillId="0" borderId="0" xfId="0" applyNumberFormat="1" applyFont="1" applyAlignment="1">
      <alignment vertical="bottom"/>
    </xf>
    <xf numFmtId="0" fontId="13" fillId="0" borderId="0" xfId="0" applyFont="1" applyAlignment="1">
      <alignment vertical="bottom" wrapText="1"/>
    </xf>
    <xf numFmtId="1" fontId="5" fillId="0" borderId="0" xfId="0" applyNumberFormat="1" applyFont="1" applyAlignment="1">
      <alignment vertical="bottom"/>
    </xf>
    <xf numFmtId="0" fontId="9" fillId="0" borderId="0" xfId="0" applyFont="1" applyAlignment="1">
      <alignment horizontal="center" vertical="bottom" wrapText="1"/>
    </xf>
    <xf numFmtId="0" fontId="9" fillId="0" borderId="0" xfId="0" applyFont="1" applyAlignment="1">
      <alignment horizontal="right" vertical="bottom" wrapText="1"/>
    </xf>
    <xf numFmtId="0" fontId="9" fillId="0" borderId="0" xfId="0" applyFont="1" applyAlignment="1">
      <alignment horizontal="left" vertical="bottom"/>
    </xf>
    <xf numFmtId="169" fontId="9" fillId="0" borderId="0" xfId="0" applyNumberFormat="1" applyFont="1" applyAlignment="1">
      <alignment horizontal="right" vertical="bottom" wrapText="1"/>
    </xf>
    <xf numFmtId="0" fontId="11" fillId="0" borderId="26" xfId="0" applyFont="1" applyBorder="1" applyAlignment="1">
      <alignment horizontal="right" vertical="bottom" wrapText="1"/>
    </xf>
    <xf numFmtId="0" fontId="11" fillId="0" borderId="40" xfId="0" applyFont="1" applyBorder="1" applyAlignment="1">
      <alignment horizontal="right" vertical="bottom" wrapText="1"/>
    </xf>
    <xf numFmtId="0" fontId="11" fillId="0" borderId="25" xfId="0" applyFont="1" applyBorder="1" applyAlignment="1">
      <alignment horizontal="right" vertical="bottom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169" fontId="9" fillId="0" borderId="0" xfId="0" applyNumberFormat="1" applyFont="1" applyAlignment="1">
      <alignment vertical="bottom" wrapText="1"/>
    </xf>
    <xf numFmtId="0" fontId="9" fillId="0" borderId="0" xfId="0" applyFont="1" applyAlignment="1">
      <alignment horizontal="right" vertical="bottom"/>
    </xf>
    <xf numFmtId="0" fontId="60" fillId="0" borderId="0" xfId="0" applyFont="1" applyAlignment="1">
      <alignment vertical="bottom"/>
    </xf>
    <xf numFmtId="0" fontId="61" fillId="0" borderId="0" xfId="0" applyFont="1" applyAlignment="1">
      <alignment vertical="bottom"/>
    </xf>
    <xf numFmtId="1" fontId="11" fillId="0" borderId="0" xfId="0" applyNumberFormat="1" applyFont="1" applyAlignment="1">
      <alignment vertical="bottom"/>
    </xf>
    <xf numFmtId="3" fontId="5" fillId="0" borderId="0" xfId="0" applyNumberFormat="1" applyFont="1" applyAlignment="1">
      <alignment vertical="bottom"/>
    </xf>
    <xf numFmtId="0" fontId="62" fillId="0" borderId="0" xfId="0" applyFont="1" applyAlignment="1">
      <alignment vertical="bottom"/>
    </xf>
    <xf numFmtId="0" fontId="11" fillId="0" borderId="0" xfId="0" applyFont="1" applyAlignment="1">
      <alignment horizontal="left" vertical="bottom" indent="1"/>
    </xf>
    <xf numFmtId="10" fontId="1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vingforcollege.com/compare_529_plans/?plan_question_ids%5B%5D=308&amp;page=compare_plan_questions" TargetMode="External"/><Relationship Id="rId2" Type="http://schemas.openxmlformats.org/officeDocument/2006/relationships/hyperlink" Target="https://www.savingforcollege.com/529-plan-details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pro.genworth.com/riiproweb/productinfo/pdf/2821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10" width="22" customWidth="1"/>
  </cols>
  <sheetData>
    <row r="1" ht="25.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5" customHeight="1" spans="1:7" x14ac:dyDescent="0.25">
      <c r="A3" s="3" t="s">
        <v>2</v>
      </c>
      <c r="B3" s="4" t="s">
        <v>3</v>
      </c>
      <c r="E3" s="5" t="s">
        <v>4</v>
      </c>
      <c r="F3" s="5"/>
      <c r="G3" s="5"/>
    </row>
    <row r="5" ht="21.75" customHeight="1" spans="1:10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</row>
    <row r="6" ht="15" customHeight="1" spans="1:5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</row>
    <row r="7" ht="15" customHeight="1" spans="1:5" x14ac:dyDescent="0.25">
      <c r="A7" s="8">
        <v>2022</v>
      </c>
      <c r="B7" s="9">
        <v>0.062</v>
      </c>
      <c r="C7" s="10">
        <v>147000</v>
      </c>
      <c r="D7" s="9">
        <v>0.0145</v>
      </c>
      <c r="E7" s="9">
        <v>0.009</v>
      </c>
    </row>
    <row r="8" ht="15" customHeight="1" spans="1:5" x14ac:dyDescent="0.25">
      <c r="A8" s="8">
        <v>2023</v>
      </c>
      <c r="B8" s="9">
        <v>0.062</v>
      </c>
      <c r="C8" s="10">
        <v>160200</v>
      </c>
      <c r="D8" s="9">
        <v>0.0145</v>
      </c>
      <c r="E8" s="9">
        <v>0.009</v>
      </c>
    </row>
    <row r="9" ht="15" customHeight="1" spans="1:5" x14ac:dyDescent="0.25">
      <c r="A9" s="8">
        <v>2024</v>
      </c>
      <c r="B9" s="9">
        <v>0.062</v>
      </c>
      <c r="C9" s="10">
        <v>168600</v>
      </c>
      <c r="D9" s="9">
        <v>0.0145</v>
      </c>
      <c r="E9" s="9">
        <v>0.009</v>
      </c>
    </row>
    <row r="10" ht="15" customHeight="1" spans="1:5" x14ac:dyDescent="0.25">
      <c r="A10" s="8">
        <v>2025</v>
      </c>
      <c r="B10" s="9">
        <v>0.062</v>
      </c>
      <c r="C10" s="10">
        <v>176100</v>
      </c>
      <c r="D10" s="9">
        <v>0.0145</v>
      </c>
      <c r="E10" s="9">
        <v>0.009</v>
      </c>
    </row>
    <row r="11" ht="15" customHeight="1" spans="1:5" x14ac:dyDescent="0.25">
      <c r="A11" s="8">
        <v>2026</v>
      </c>
      <c r="B11" s="9">
        <v>0.062</v>
      </c>
      <c r="C11" s="10">
        <v>184500</v>
      </c>
      <c r="D11" s="9">
        <v>0.0145</v>
      </c>
      <c r="E11" s="9">
        <v>0.009</v>
      </c>
    </row>
    <row r="13" ht="15" customHeight="1" spans="1:10" x14ac:dyDescent="0.25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</row>
    <row r="15" ht="21.75" customHeight="1" spans="1:10" x14ac:dyDescent="0.25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</row>
    <row r="16" ht="15" customHeight="1" spans="1:5" x14ac:dyDescent="0.25">
      <c r="A16" s="7" t="s">
        <v>6</v>
      </c>
      <c r="B16" s="7" t="s">
        <v>13</v>
      </c>
      <c r="C16" s="7" t="s">
        <v>14</v>
      </c>
      <c r="D16" s="7" t="s">
        <v>15</v>
      </c>
      <c r="E16" s="7" t="s">
        <v>16</v>
      </c>
    </row>
    <row r="17" ht="15" customHeight="1" spans="1:5" x14ac:dyDescent="0.25">
      <c r="A17" s="8">
        <v>2022</v>
      </c>
      <c r="B17" s="10">
        <v>25900</v>
      </c>
      <c r="C17" s="10">
        <v>12950</v>
      </c>
      <c r="D17" s="10">
        <v>19400</v>
      </c>
      <c r="E17" s="10">
        <v>12950</v>
      </c>
    </row>
    <row r="18" ht="15" customHeight="1" spans="1:5" x14ac:dyDescent="0.25">
      <c r="A18" s="8">
        <v>2023</v>
      </c>
      <c r="B18" s="10">
        <v>27700</v>
      </c>
      <c r="C18" s="10">
        <v>13850</v>
      </c>
      <c r="D18" s="10">
        <v>20800</v>
      </c>
      <c r="E18" s="10">
        <v>13850</v>
      </c>
    </row>
    <row r="19" ht="15" customHeight="1" spans="1:5" x14ac:dyDescent="0.25">
      <c r="A19" s="8">
        <v>2024</v>
      </c>
      <c r="B19" s="10">
        <v>29200</v>
      </c>
      <c r="C19" s="10">
        <v>14600</v>
      </c>
      <c r="D19" s="10">
        <v>21900</v>
      </c>
      <c r="E19" s="10">
        <v>14600</v>
      </c>
    </row>
    <row r="20" ht="15" customHeight="1" spans="1:5" x14ac:dyDescent="0.25">
      <c r="A20" s="8">
        <v>2025</v>
      </c>
      <c r="B20" s="10">
        <v>31500</v>
      </c>
      <c r="C20" s="10">
        <v>15750</v>
      </c>
      <c r="D20" s="10">
        <v>23625</v>
      </c>
      <c r="E20" s="10">
        <v>15750</v>
      </c>
    </row>
    <row r="21" ht="15" customHeight="1" spans="1:5" x14ac:dyDescent="0.25">
      <c r="A21" s="8">
        <v>2026</v>
      </c>
      <c r="B21" s="10">
        <v>32200</v>
      </c>
      <c r="C21" s="10">
        <v>16100</v>
      </c>
      <c r="D21" s="10">
        <v>24150</v>
      </c>
      <c r="E21" s="10">
        <v>16100</v>
      </c>
    </row>
    <row r="23" ht="15" customHeight="1" spans="1:10" x14ac:dyDescent="0.25">
      <c r="A23" s="2" t="s">
        <v>17</v>
      </c>
      <c r="B23" s="2"/>
      <c r="C23" s="2"/>
      <c r="D23" s="2"/>
      <c r="E23" s="2"/>
      <c r="F23" s="2"/>
      <c r="G23" s="2"/>
      <c r="H23" s="2"/>
      <c r="I23" s="2"/>
      <c r="J23" s="2"/>
    </row>
    <row r="25" ht="21.75" customHeight="1" spans="1:10" x14ac:dyDescent="0.25">
      <c r="A25" s="6" t="s">
        <v>18</v>
      </c>
      <c r="B25" s="6"/>
      <c r="C25" s="6"/>
      <c r="D25" s="6"/>
      <c r="E25" s="6"/>
      <c r="F25" s="6"/>
      <c r="G25" s="6"/>
      <c r="H25" s="6"/>
      <c r="I25" s="6"/>
      <c r="J25" s="6"/>
    </row>
    <row r="26" ht="15" customHeight="1" spans="1:10" x14ac:dyDescent="0.25">
      <c r="A26" s="11" t="s">
        <v>19</v>
      </c>
      <c r="B26" s="11"/>
      <c r="C26" s="11"/>
      <c r="D26" s="11"/>
      <c r="E26" s="11"/>
      <c r="F26" s="11"/>
      <c r="G26" s="11"/>
      <c r="H26" s="11"/>
      <c r="I26" s="11"/>
      <c r="J26" s="11"/>
    </row>
    <row r="27" ht="15" customHeight="1" spans="1:4" x14ac:dyDescent="0.25">
      <c r="A27" s="7" t="s">
        <v>6</v>
      </c>
      <c r="B27" s="7" t="s">
        <v>20</v>
      </c>
      <c r="C27" s="7" t="s">
        <v>21</v>
      </c>
      <c r="D27" s="7" t="s">
        <v>16</v>
      </c>
    </row>
    <row r="28" ht="15" customHeight="1" spans="1:4" x14ac:dyDescent="0.25">
      <c r="A28" s="8">
        <v>2022</v>
      </c>
      <c r="B28" s="10">
        <v>118100</v>
      </c>
      <c r="C28" s="10">
        <v>75900</v>
      </c>
      <c r="D28" s="10">
        <v>59050</v>
      </c>
    </row>
    <row r="29" ht="15" customHeight="1" spans="1:4" x14ac:dyDescent="0.25">
      <c r="A29" s="8">
        <v>2023</v>
      </c>
      <c r="B29" s="10">
        <v>126500</v>
      </c>
      <c r="C29" s="10">
        <v>81300</v>
      </c>
      <c r="D29" s="10">
        <v>63250</v>
      </c>
    </row>
    <row r="30" ht="15" customHeight="1" spans="1:4" x14ac:dyDescent="0.25">
      <c r="A30" s="8">
        <v>2024</v>
      </c>
      <c r="B30" s="10">
        <v>133300</v>
      </c>
      <c r="C30" s="10">
        <v>85700</v>
      </c>
      <c r="D30" s="10">
        <v>66650</v>
      </c>
    </row>
    <row r="31" ht="15" customHeight="1" spans="1:4" x14ac:dyDescent="0.25">
      <c r="A31" s="8">
        <v>2025</v>
      </c>
      <c r="B31" s="10">
        <v>137000</v>
      </c>
      <c r="C31" s="10">
        <v>88100</v>
      </c>
      <c r="D31" s="10">
        <v>68500</v>
      </c>
    </row>
    <row r="32" ht="15" customHeight="1" spans="1:4" x14ac:dyDescent="0.25">
      <c r="A32" s="8">
        <v>2026</v>
      </c>
      <c r="B32" s="10">
        <v>140200</v>
      </c>
      <c r="C32" s="10">
        <v>90100</v>
      </c>
      <c r="D32" s="10">
        <v>70100</v>
      </c>
    </row>
    <row r="34" ht="15" customHeight="1" spans="1:10" x14ac:dyDescent="0.25">
      <c r="A34" s="11" t="s">
        <v>22</v>
      </c>
      <c r="B34" s="11"/>
      <c r="C34" s="11"/>
      <c r="D34" s="11"/>
      <c r="E34" s="11"/>
      <c r="F34" s="11"/>
      <c r="G34" s="11"/>
      <c r="H34" s="11"/>
      <c r="I34" s="11"/>
      <c r="J34" s="11"/>
    </row>
    <row r="35" ht="15" customHeight="1" spans="1:3" x14ac:dyDescent="0.25">
      <c r="A35" s="7" t="s">
        <v>6</v>
      </c>
      <c r="B35" s="7" t="s">
        <v>23</v>
      </c>
      <c r="C35" s="7" t="s">
        <v>16</v>
      </c>
    </row>
    <row r="36" ht="15" customHeight="1" spans="1:3" x14ac:dyDescent="0.25">
      <c r="A36" s="8">
        <v>2022</v>
      </c>
      <c r="B36" s="10">
        <v>206100</v>
      </c>
      <c r="C36" s="10">
        <v>103050</v>
      </c>
    </row>
    <row r="37" ht="15" customHeight="1" spans="1:3" x14ac:dyDescent="0.25">
      <c r="A37" s="8">
        <v>2023</v>
      </c>
      <c r="B37" s="10">
        <v>220700</v>
      </c>
      <c r="C37" s="10">
        <v>110350</v>
      </c>
    </row>
    <row r="38" ht="15" customHeight="1" spans="1:3" x14ac:dyDescent="0.25">
      <c r="A38" s="8">
        <v>2024</v>
      </c>
      <c r="B38" s="10">
        <v>232600</v>
      </c>
      <c r="C38" s="10">
        <v>116300</v>
      </c>
    </row>
    <row r="39" ht="15" customHeight="1" spans="1:3" x14ac:dyDescent="0.25">
      <c r="A39" s="8">
        <v>2025</v>
      </c>
      <c r="B39" s="10">
        <v>239100</v>
      </c>
      <c r="C39" s="10">
        <v>119550</v>
      </c>
    </row>
    <row r="40" ht="15" customHeight="1" spans="1:3" x14ac:dyDescent="0.25">
      <c r="A40" s="8">
        <v>2026</v>
      </c>
      <c r="B40" s="10">
        <v>244500</v>
      </c>
      <c r="C40" s="10">
        <v>122250</v>
      </c>
    </row>
    <row r="42" ht="15" customHeight="1" spans="1:10" x14ac:dyDescent="0.25">
      <c r="A42" s="11" t="s">
        <v>24</v>
      </c>
      <c r="B42" s="11"/>
      <c r="C42" s="11"/>
      <c r="D42" s="11"/>
      <c r="E42" s="11"/>
      <c r="F42" s="11"/>
      <c r="G42" s="11"/>
      <c r="H42" s="11"/>
      <c r="I42" s="11"/>
      <c r="J42" s="11"/>
    </row>
    <row r="43" ht="15" customHeight="1" spans="1:4" x14ac:dyDescent="0.25">
      <c r="A43" s="7" t="s">
        <v>6</v>
      </c>
      <c r="B43" s="7" t="s">
        <v>20</v>
      </c>
      <c r="C43" s="7" t="s">
        <v>21</v>
      </c>
      <c r="D43" s="7" t="s">
        <v>16</v>
      </c>
    </row>
    <row r="44" ht="15" customHeight="1" spans="1:4" x14ac:dyDescent="0.25">
      <c r="A44" s="8">
        <v>2022</v>
      </c>
      <c r="B44" s="10">
        <v>1079800</v>
      </c>
      <c r="C44" s="10">
        <v>539900</v>
      </c>
      <c r="D44" s="10">
        <v>539900</v>
      </c>
    </row>
    <row r="45" ht="15" customHeight="1" spans="1:4" x14ac:dyDescent="0.25">
      <c r="A45" s="8">
        <v>2023</v>
      </c>
      <c r="B45" s="10">
        <v>1156300</v>
      </c>
      <c r="C45" s="10">
        <v>578150</v>
      </c>
      <c r="D45" s="10">
        <v>578150</v>
      </c>
    </row>
    <row r="46" ht="15" customHeight="1" spans="1:4" x14ac:dyDescent="0.25">
      <c r="A46" s="8">
        <v>2024</v>
      </c>
      <c r="B46" s="10">
        <v>1218700</v>
      </c>
      <c r="C46" s="10">
        <v>609350</v>
      </c>
      <c r="D46" s="10">
        <v>609350</v>
      </c>
    </row>
    <row r="47" ht="15" customHeight="1" spans="1:4" x14ac:dyDescent="0.25">
      <c r="A47" s="8">
        <v>2025</v>
      </c>
      <c r="B47" s="10">
        <v>1252700</v>
      </c>
      <c r="C47" s="10">
        <v>626350</v>
      </c>
      <c r="D47" s="10">
        <v>626350</v>
      </c>
    </row>
    <row r="48" ht="15" customHeight="1" spans="1:4" x14ac:dyDescent="0.25">
      <c r="A48" s="8">
        <v>2026</v>
      </c>
      <c r="B48" s="10">
        <v>1000000</v>
      </c>
      <c r="C48" s="10">
        <v>500000</v>
      </c>
      <c r="D48" s="10">
        <v>500000</v>
      </c>
    </row>
    <row r="50" ht="15" customHeight="1" spans="1:10" x14ac:dyDescent="0.25">
      <c r="A50" s="2" t="s">
        <v>25</v>
      </c>
      <c r="B50" s="2"/>
      <c r="C50" s="2"/>
      <c r="D50" s="2"/>
      <c r="E50" s="2"/>
      <c r="F50" s="2"/>
      <c r="G50" s="2"/>
      <c r="H50" s="2"/>
      <c r="I50" s="2"/>
      <c r="J50" s="2"/>
    </row>
    <row r="52" ht="21.75" customHeight="1" spans="1:10" x14ac:dyDescent="0.25">
      <c r="A52" s="6" t="s">
        <v>26</v>
      </c>
      <c r="B52" s="6"/>
      <c r="C52" s="6"/>
      <c r="D52" s="6"/>
      <c r="E52" s="6"/>
      <c r="F52" s="6"/>
      <c r="G52" s="6"/>
      <c r="H52" s="6"/>
      <c r="I52" s="6"/>
      <c r="J52" s="6"/>
    </row>
    <row r="53" ht="15" customHeight="1" spans="1:10" x14ac:dyDescent="0.25">
      <c r="A53" s="11" t="s">
        <v>27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" customHeight="1" spans="1:8" x14ac:dyDescent="0.25">
      <c r="A54" s="7" t="s">
        <v>6</v>
      </c>
      <c r="B54" s="7" t="s">
        <v>28</v>
      </c>
      <c r="C54" s="7" t="s">
        <v>29</v>
      </c>
      <c r="D54" s="7" t="s">
        <v>30</v>
      </c>
      <c r="E54" s="7" t="s">
        <v>31</v>
      </c>
      <c r="F54" s="7" t="s">
        <v>32</v>
      </c>
      <c r="G54" s="7" t="s">
        <v>33</v>
      </c>
      <c r="H54" s="7" t="s">
        <v>34</v>
      </c>
    </row>
    <row r="55" ht="15" customHeight="1" spans="1:8" x14ac:dyDescent="0.25">
      <c r="A55" s="8">
        <v>2022</v>
      </c>
      <c r="B55" s="10">
        <v>20550</v>
      </c>
      <c r="C55" s="10">
        <v>83550</v>
      </c>
      <c r="D55" s="10">
        <v>178150</v>
      </c>
      <c r="E55" s="10">
        <v>340100</v>
      </c>
      <c r="F55" s="10">
        <v>431900</v>
      </c>
      <c r="G55" s="10">
        <v>647850</v>
      </c>
      <c r="H55" s="12" t="s">
        <v>35</v>
      </c>
    </row>
    <row r="56" ht="15" customHeight="1" spans="1:8" x14ac:dyDescent="0.25">
      <c r="A56" s="8">
        <v>2023</v>
      </c>
      <c r="B56" s="10">
        <v>22000</v>
      </c>
      <c r="C56" s="10">
        <v>89450</v>
      </c>
      <c r="D56" s="10">
        <v>190750</v>
      </c>
      <c r="E56" s="10">
        <v>364200</v>
      </c>
      <c r="F56" s="10">
        <v>462500</v>
      </c>
      <c r="G56" s="10">
        <v>693750</v>
      </c>
      <c r="H56" s="12" t="s">
        <v>35</v>
      </c>
    </row>
    <row r="57" ht="15" customHeight="1" spans="1:8" x14ac:dyDescent="0.25">
      <c r="A57" s="8">
        <v>2024</v>
      </c>
      <c r="B57" s="10">
        <v>23200</v>
      </c>
      <c r="C57" s="10">
        <v>94300</v>
      </c>
      <c r="D57" s="10">
        <v>201050</v>
      </c>
      <c r="E57" s="10">
        <v>383900</v>
      </c>
      <c r="F57" s="10">
        <v>487450</v>
      </c>
      <c r="G57" s="10">
        <v>731200</v>
      </c>
      <c r="H57" s="12" t="s">
        <v>35</v>
      </c>
    </row>
    <row r="58" ht="15" customHeight="1" spans="1:8" x14ac:dyDescent="0.25">
      <c r="A58" s="8">
        <v>2025</v>
      </c>
      <c r="B58" s="10">
        <v>23850</v>
      </c>
      <c r="C58" s="10">
        <v>96950</v>
      </c>
      <c r="D58" s="10">
        <v>206700</v>
      </c>
      <c r="E58" s="10">
        <v>394600</v>
      </c>
      <c r="F58" s="10">
        <v>501050</v>
      </c>
      <c r="G58" s="10">
        <v>751600</v>
      </c>
      <c r="H58" s="12" t="s">
        <v>35</v>
      </c>
    </row>
    <row r="59" ht="15" customHeight="1" spans="1:8" x14ac:dyDescent="0.25">
      <c r="A59" s="8">
        <v>2026</v>
      </c>
      <c r="B59" s="10">
        <v>24800</v>
      </c>
      <c r="C59" s="10">
        <v>100800</v>
      </c>
      <c r="D59" s="10">
        <v>211400</v>
      </c>
      <c r="E59" s="10">
        <v>403550</v>
      </c>
      <c r="F59" s="10">
        <v>512450</v>
      </c>
      <c r="G59" s="10">
        <v>768700</v>
      </c>
      <c r="H59" s="12" t="s">
        <v>35</v>
      </c>
    </row>
    <row r="61" ht="15" customHeight="1" spans="1:10" x14ac:dyDescent="0.25">
      <c r="A61" s="11" t="s">
        <v>36</v>
      </c>
      <c r="B61" s="11"/>
      <c r="C61" s="11"/>
      <c r="D61" s="11"/>
      <c r="E61" s="11"/>
      <c r="F61" s="11"/>
      <c r="G61" s="11"/>
      <c r="H61" s="11"/>
      <c r="I61" s="11"/>
      <c r="J61" s="11"/>
    </row>
    <row r="62" ht="15" customHeight="1" spans="1:8" x14ac:dyDescent="0.25">
      <c r="A62" s="7" t="s">
        <v>6</v>
      </c>
      <c r="B62" s="7" t="s">
        <v>28</v>
      </c>
      <c r="C62" s="7" t="s">
        <v>29</v>
      </c>
      <c r="D62" s="7" t="s">
        <v>30</v>
      </c>
      <c r="E62" s="7" t="s">
        <v>31</v>
      </c>
      <c r="F62" s="7" t="s">
        <v>32</v>
      </c>
      <c r="G62" s="7" t="s">
        <v>33</v>
      </c>
      <c r="H62" s="7" t="s">
        <v>34</v>
      </c>
    </row>
    <row r="63" ht="15" customHeight="1" spans="1:8" x14ac:dyDescent="0.25">
      <c r="A63" s="8">
        <v>2022</v>
      </c>
      <c r="B63" s="10">
        <v>10275</v>
      </c>
      <c r="C63" s="10">
        <v>41775</v>
      </c>
      <c r="D63" s="10">
        <v>89075</v>
      </c>
      <c r="E63" s="10">
        <v>170050</v>
      </c>
      <c r="F63" s="10">
        <v>215950</v>
      </c>
      <c r="G63" s="10">
        <v>539900</v>
      </c>
      <c r="H63" s="12" t="s">
        <v>35</v>
      </c>
    </row>
    <row r="64" ht="15" customHeight="1" spans="1:8" x14ac:dyDescent="0.25">
      <c r="A64" s="8">
        <v>2023</v>
      </c>
      <c r="B64" s="10">
        <v>11000</v>
      </c>
      <c r="C64" s="10">
        <v>44725</v>
      </c>
      <c r="D64" s="10">
        <v>95375</v>
      </c>
      <c r="E64" s="10">
        <v>182100</v>
      </c>
      <c r="F64" s="10">
        <v>231250</v>
      </c>
      <c r="G64" s="10">
        <v>578125</v>
      </c>
      <c r="H64" s="12" t="s">
        <v>35</v>
      </c>
    </row>
    <row r="65" ht="15" customHeight="1" spans="1:8" x14ac:dyDescent="0.25">
      <c r="A65" s="8">
        <v>2024</v>
      </c>
      <c r="B65" s="10">
        <v>11600</v>
      </c>
      <c r="C65" s="10">
        <v>47150</v>
      </c>
      <c r="D65" s="10">
        <v>100525</v>
      </c>
      <c r="E65" s="10">
        <v>191950</v>
      </c>
      <c r="F65" s="10">
        <v>243725</v>
      </c>
      <c r="G65" s="10">
        <v>609350</v>
      </c>
      <c r="H65" s="12" t="s">
        <v>35</v>
      </c>
    </row>
    <row r="66" ht="15" customHeight="1" spans="1:8" x14ac:dyDescent="0.25">
      <c r="A66" s="8">
        <v>2025</v>
      </c>
      <c r="B66" s="10">
        <v>11925</v>
      </c>
      <c r="C66" s="10">
        <v>48475</v>
      </c>
      <c r="D66" s="10">
        <v>103350</v>
      </c>
      <c r="E66" s="10">
        <v>197300</v>
      </c>
      <c r="F66" s="10">
        <v>250525</v>
      </c>
      <c r="G66" s="10">
        <v>626350</v>
      </c>
      <c r="H66" s="12" t="s">
        <v>35</v>
      </c>
    </row>
    <row r="67" ht="15" customHeight="1" spans="1:8" x14ac:dyDescent="0.25">
      <c r="A67" s="8">
        <v>2026</v>
      </c>
      <c r="B67" s="10">
        <v>12400</v>
      </c>
      <c r="C67" s="10">
        <v>50400</v>
      </c>
      <c r="D67" s="10">
        <v>105700</v>
      </c>
      <c r="E67" s="10">
        <v>201775</v>
      </c>
      <c r="F67" s="10">
        <v>256225</v>
      </c>
      <c r="G67" s="10">
        <v>640600</v>
      </c>
      <c r="H67" s="12" t="s">
        <v>35</v>
      </c>
    </row>
    <row r="69" ht="15" customHeight="1" spans="1:10" x14ac:dyDescent="0.25">
      <c r="A69" s="11" t="s">
        <v>37</v>
      </c>
      <c r="B69" s="11"/>
      <c r="C69" s="11"/>
      <c r="D69" s="11"/>
      <c r="E69" s="11"/>
      <c r="F69" s="11"/>
      <c r="G69" s="11"/>
      <c r="H69" s="11"/>
      <c r="I69" s="11"/>
      <c r="J69" s="11"/>
    </row>
    <row r="70" ht="15" customHeight="1" spans="1:8" x14ac:dyDescent="0.25">
      <c r="A70" s="7" t="s">
        <v>6</v>
      </c>
      <c r="B70" s="7" t="s">
        <v>28</v>
      </c>
      <c r="C70" s="7" t="s">
        <v>29</v>
      </c>
      <c r="D70" s="7" t="s">
        <v>30</v>
      </c>
      <c r="E70" s="7" t="s">
        <v>31</v>
      </c>
      <c r="F70" s="7" t="s">
        <v>32</v>
      </c>
      <c r="G70" s="7" t="s">
        <v>33</v>
      </c>
      <c r="H70" s="7" t="s">
        <v>34</v>
      </c>
    </row>
    <row r="71" ht="15" customHeight="1" spans="1:8" x14ac:dyDescent="0.25">
      <c r="A71" s="8">
        <v>2022</v>
      </c>
      <c r="B71" s="10">
        <v>14650</v>
      </c>
      <c r="C71" s="10">
        <v>55900</v>
      </c>
      <c r="D71" s="10">
        <v>89050</v>
      </c>
      <c r="E71" s="10">
        <v>170050</v>
      </c>
      <c r="F71" s="10">
        <v>215950</v>
      </c>
      <c r="G71" s="10">
        <v>539900</v>
      </c>
      <c r="H71" s="12" t="s">
        <v>35</v>
      </c>
    </row>
    <row r="72" ht="15" customHeight="1" spans="1:8" x14ac:dyDescent="0.25">
      <c r="A72" s="8">
        <v>2023</v>
      </c>
      <c r="B72" s="10">
        <v>15700</v>
      </c>
      <c r="C72" s="10">
        <v>59850</v>
      </c>
      <c r="D72" s="10">
        <v>95350</v>
      </c>
      <c r="E72" s="10">
        <v>182100</v>
      </c>
      <c r="F72" s="10">
        <v>231250</v>
      </c>
      <c r="G72" s="10">
        <v>578100</v>
      </c>
      <c r="H72" s="12" t="s">
        <v>35</v>
      </c>
    </row>
    <row r="73" ht="15" customHeight="1" spans="1:8" x14ac:dyDescent="0.25">
      <c r="A73" s="8">
        <v>2024</v>
      </c>
      <c r="B73" s="10">
        <v>16550</v>
      </c>
      <c r="C73" s="10">
        <v>63100</v>
      </c>
      <c r="D73" s="10">
        <v>100500</v>
      </c>
      <c r="E73" s="10">
        <v>191950</v>
      </c>
      <c r="F73" s="10">
        <v>243700</v>
      </c>
      <c r="G73" s="10">
        <v>609350</v>
      </c>
      <c r="H73" s="12" t="s">
        <v>35</v>
      </c>
    </row>
    <row r="74" ht="15" customHeight="1" spans="1:8" x14ac:dyDescent="0.25">
      <c r="A74" s="8">
        <v>2025</v>
      </c>
      <c r="B74" s="10">
        <v>17000</v>
      </c>
      <c r="C74" s="10">
        <v>64850</v>
      </c>
      <c r="D74" s="10">
        <v>103350</v>
      </c>
      <c r="E74" s="10">
        <v>197300</v>
      </c>
      <c r="F74" s="10">
        <v>250500</v>
      </c>
      <c r="G74" s="10">
        <v>626350</v>
      </c>
      <c r="H74" s="12" t="s">
        <v>35</v>
      </c>
    </row>
    <row r="75" ht="15" customHeight="1" spans="1:8" x14ac:dyDescent="0.25">
      <c r="A75" s="8">
        <v>2026</v>
      </c>
      <c r="B75" s="10">
        <v>17700</v>
      </c>
      <c r="C75" s="10">
        <v>67450</v>
      </c>
      <c r="D75" s="10">
        <v>105700</v>
      </c>
      <c r="E75" s="10">
        <v>201750</v>
      </c>
      <c r="F75" s="10">
        <v>256200</v>
      </c>
      <c r="G75" s="10">
        <v>640600</v>
      </c>
      <c r="H75" s="12" t="s">
        <v>35</v>
      </c>
    </row>
    <row r="77" ht="15" customHeight="1" spans="1:10" x14ac:dyDescent="0.25">
      <c r="A77" s="11" t="s">
        <v>38</v>
      </c>
      <c r="B77" s="11"/>
      <c r="C77" s="11"/>
      <c r="D77" s="11"/>
      <c r="E77" s="11"/>
      <c r="F77" s="11"/>
      <c r="G77" s="11"/>
      <c r="H77" s="11"/>
      <c r="I77" s="11"/>
      <c r="J77" s="11"/>
    </row>
    <row r="78" ht="15" customHeight="1" spans="1:8" x14ac:dyDescent="0.25">
      <c r="A78" s="7" t="s">
        <v>6</v>
      </c>
      <c r="B78" s="7" t="s">
        <v>28</v>
      </c>
      <c r="C78" s="7" t="s">
        <v>29</v>
      </c>
      <c r="D78" s="7" t="s">
        <v>30</v>
      </c>
      <c r="E78" s="7" t="s">
        <v>31</v>
      </c>
      <c r="F78" s="7" t="s">
        <v>32</v>
      </c>
      <c r="G78" s="7" t="s">
        <v>33</v>
      </c>
      <c r="H78" s="7" t="s">
        <v>34</v>
      </c>
    </row>
    <row r="79" ht="15" customHeight="1" spans="1:8" x14ac:dyDescent="0.25">
      <c r="A79" s="8">
        <v>2022</v>
      </c>
      <c r="B79" s="10">
        <v>10275</v>
      </c>
      <c r="C79" s="10">
        <v>41775</v>
      </c>
      <c r="D79" s="10">
        <v>89075</v>
      </c>
      <c r="E79" s="10">
        <v>170050</v>
      </c>
      <c r="F79" s="10">
        <v>215950</v>
      </c>
      <c r="G79" s="10">
        <v>323925</v>
      </c>
      <c r="H79" s="12" t="s">
        <v>35</v>
      </c>
    </row>
    <row r="80" ht="15" customHeight="1" spans="1:8" x14ac:dyDescent="0.25">
      <c r="A80" s="8">
        <v>2023</v>
      </c>
      <c r="B80" s="10">
        <v>11000</v>
      </c>
      <c r="C80" s="10">
        <v>44725</v>
      </c>
      <c r="D80" s="10">
        <v>95375</v>
      </c>
      <c r="E80" s="10">
        <v>182100</v>
      </c>
      <c r="F80" s="10">
        <v>231250</v>
      </c>
      <c r="G80" s="10">
        <v>346875</v>
      </c>
      <c r="H80" s="12" t="s">
        <v>35</v>
      </c>
    </row>
    <row r="81" ht="15" customHeight="1" spans="1:8" x14ac:dyDescent="0.25">
      <c r="A81" s="8">
        <v>2024</v>
      </c>
      <c r="B81" s="10">
        <v>11600</v>
      </c>
      <c r="C81" s="10">
        <v>47150</v>
      </c>
      <c r="D81" s="10">
        <v>100525</v>
      </c>
      <c r="E81" s="10">
        <v>191950</v>
      </c>
      <c r="F81" s="10">
        <v>243725</v>
      </c>
      <c r="G81" s="10">
        <v>365600</v>
      </c>
      <c r="H81" s="12" t="s">
        <v>35</v>
      </c>
    </row>
    <row r="82" ht="15" customHeight="1" spans="1:8" x14ac:dyDescent="0.25">
      <c r="A82" s="8">
        <v>2025</v>
      </c>
      <c r="B82" s="10">
        <v>11925</v>
      </c>
      <c r="C82" s="10">
        <v>48475</v>
      </c>
      <c r="D82" s="10">
        <v>103350</v>
      </c>
      <c r="E82" s="10">
        <v>197300</v>
      </c>
      <c r="F82" s="10">
        <v>250525</v>
      </c>
      <c r="G82" s="10">
        <v>375800</v>
      </c>
      <c r="H82" s="12" t="s">
        <v>35</v>
      </c>
    </row>
    <row r="83" ht="15" customHeight="1" spans="1:8" x14ac:dyDescent="0.25">
      <c r="A83" s="8">
        <v>2026</v>
      </c>
      <c r="B83" s="10">
        <v>12400</v>
      </c>
      <c r="C83" s="10">
        <v>50400</v>
      </c>
      <c r="D83" s="10">
        <v>105700</v>
      </c>
      <c r="E83" s="10">
        <v>201775</v>
      </c>
      <c r="F83" s="10">
        <v>256225</v>
      </c>
      <c r="G83" s="10">
        <v>384350</v>
      </c>
      <c r="H83" s="12" t="s">
        <v>35</v>
      </c>
    </row>
    <row r="85" ht="15" customHeight="1" spans="1:10" x14ac:dyDescent="0.25">
      <c r="A85" s="11" t="s">
        <v>39</v>
      </c>
      <c r="B85" s="11"/>
      <c r="C85" s="11"/>
      <c r="D85" s="11"/>
      <c r="E85" s="11"/>
      <c r="F85" s="11"/>
      <c r="G85" s="11"/>
      <c r="H85" s="11"/>
      <c r="I85" s="11"/>
      <c r="J85" s="11"/>
    </row>
    <row r="86" ht="15" customHeight="1" spans="1:5" x14ac:dyDescent="0.25">
      <c r="A86" s="7" t="s">
        <v>6</v>
      </c>
      <c r="B86" s="7" t="s">
        <v>28</v>
      </c>
      <c r="C86" s="7" t="s">
        <v>31</v>
      </c>
      <c r="D86" s="7" t="s">
        <v>33</v>
      </c>
      <c r="E86" s="7" t="s">
        <v>34</v>
      </c>
    </row>
    <row r="87" ht="15" customHeight="1" spans="1:5" x14ac:dyDescent="0.25">
      <c r="A87" s="8">
        <v>2022</v>
      </c>
      <c r="B87" s="10">
        <v>2750</v>
      </c>
      <c r="C87" s="10">
        <v>9850</v>
      </c>
      <c r="D87" s="10">
        <v>13450</v>
      </c>
      <c r="E87" s="12" t="s">
        <v>35</v>
      </c>
    </row>
    <row r="88" ht="15" customHeight="1" spans="1:5" x14ac:dyDescent="0.25">
      <c r="A88" s="8">
        <v>2023</v>
      </c>
      <c r="B88" s="10">
        <v>2900</v>
      </c>
      <c r="C88" s="10">
        <v>10550</v>
      </c>
      <c r="D88" s="10">
        <v>14450</v>
      </c>
      <c r="E88" s="12" t="s">
        <v>35</v>
      </c>
    </row>
    <row r="89" ht="15" customHeight="1" spans="1:5" x14ac:dyDescent="0.25">
      <c r="A89" s="8">
        <v>2024</v>
      </c>
      <c r="B89" s="10">
        <v>3100</v>
      </c>
      <c r="C89" s="10">
        <v>11150</v>
      </c>
      <c r="D89" s="10">
        <v>15200</v>
      </c>
      <c r="E89" s="12" t="s">
        <v>35</v>
      </c>
    </row>
    <row r="90" ht="15" customHeight="1" spans="1:5" x14ac:dyDescent="0.25">
      <c r="A90" s="8">
        <v>2025</v>
      </c>
      <c r="B90" s="10">
        <v>3150</v>
      </c>
      <c r="C90" s="10">
        <v>11450</v>
      </c>
      <c r="D90" s="10">
        <v>15650</v>
      </c>
      <c r="E90" s="12" t="s">
        <v>35</v>
      </c>
    </row>
    <row r="91" ht="15" customHeight="1" spans="1:5" x14ac:dyDescent="0.25">
      <c r="A91" s="8">
        <v>2026</v>
      </c>
      <c r="B91" s="10">
        <v>3300</v>
      </c>
      <c r="C91" s="10">
        <v>11700</v>
      </c>
      <c r="D91" s="10">
        <v>16000</v>
      </c>
      <c r="E91" s="12" t="s">
        <v>35</v>
      </c>
    </row>
    <row r="93" ht="15" customHeight="1" spans="1:10" x14ac:dyDescent="0.25">
      <c r="A93" s="2" t="s">
        <v>40</v>
      </c>
      <c r="B93" s="2"/>
      <c r="C93" s="2"/>
      <c r="D93" s="2"/>
      <c r="E93" s="2"/>
      <c r="F93" s="2"/>
      <c r="G93" s="2"/>
      <c r="H93" s="2"/>
      <c r="I93" s="2"/>
      <c r="J93" s="2"/>
    </row>
    <row r="95" ht="21.75" customHeight="1" spans="1:10" x14ac:dyDescent="0.25">
      <c r="A95" s="6" t="s">
        <v>41</v>
      </c>
      <c r="B95" s="6"/>
      <c r="C95" s="6"/>
      <c r="D95" s="6"/>
      <c r="E95" s="6"/>
      <c r="F95" s="6"/>
      <c r="G95" s="6"/>
      <c r="H95" s="6"/>
      <c r="I95" s="6"/>
      <c r="J95" s="6"/>
    </row>
    <row r="96" ht="15" customHeight="1" spans="1:10" x14ac:dyDescent="0.25">
      <c r="A96" s="11" t="s">
        <v>27</v>
      </c>
      <c r="B96" s="11"/>
      <c r="C96" s="11"/>
      <c r="D96" s="11"/>
      <c r="E96" s="11"/>
      <c r="F96" s="11"/>
      <c r="G96" s="11"/>
      <c r="H96" s="11"/>
      <c r="I96" s="11"/>
      <c r="J96" s="11"/>
    </row>
    <row r="97" ht="15" customHeight="1" spans="1:4" x14ac:dyDescent="0.25">
      <c r="A97" s="7" t="s">
        <v>6</v>
      </c>
      <c r="B97" s="7" t="s">
        <v>42</v>
      </c>
      <c r="C97" s="7" t="s">
        <v>43</v>
      </c>
      <c r="D97" s="7" t="s">
        <v>44</v>
      </c>
    </row>
    <row r="98" ht="15" customHeight="1" spans="1:4" x14ac:dyDescent="0.25">
      <c r="A98" s="8">
        <v>2022</v>
      </c>
      <c r="B98" s="10">
        <v>83350</v>
      </c>
      <c r="C98" s="10">
        <v>517200</v>
      </c>
      <c r="D98" s="10">
        <v>517200</v>
      </c>
    </row>
    <row r="99" ht="15" customHeight="1" spans="1:4" x14ac:dyDescent="0.25">
      <c r="A99" s="8">
        <v>2023</v>
      </c>
      <c r="B99" s="10">
        <v>89250</v>
      </c>
      <c r="C99" s="10">
        <v>553850</v>
      </c>
      <c r="D99" s="10">
        <v>553850</v>
      </c>
    </row>
    <row r="100" ht="15" customHeight="1" spans="1:4" x14ac:dyDescent="0.25">
      <c r="A100" s="8">
        <v>2024</v>
      </c>
      <c r="B100" s="10">
        <v>94050</v>
      </c>
      <c r="C100" s="10">
        <v>583750</v>
      </c>
      <c r="D100" s="10">
        <v>583750</v>
      </c>
    </row>
    <row r="101" ht="15" customHeight="1" spans="1:4" x14ac:dyDescent="0.25">
      <c r="A101" s="8">
        <v>2025</v>
      </c>
      <c r="B101" s="10">
        <v>96700</v>
      </c>
      <c r="C101" s="10">
        <v>600050</v>
      </c>
      <c r="D101" s="10">
        <v>600050</v>
      </c>
    </row>
    <row r="102" ht="15" customHeight="1" spans="1:4" x14ac:dyDescent="0.25">
      <c r="A102" s="8">
        <v>2026</v>
      </c>
      <c r="B102" s="10">
        <v>98900</v>
      </c>
      <c r="C102" s="10">
        <v>613700</v>
      </c>
      <c r="D102" s="10">
        <v>613700</v>
      </c>
    </row>
    <row r="104" ht="15" customHeight="1" spans="1:10" x14ac:dyDescent="0.25">
      <c r="A104" s="11" t="s">
        <v>36</v>
      </c>
      <c r="B104" s="11"/>
      <c r="C104" s="11"/>
      <c r="D104" s="11"/>
      <c r="E104" s="11"/>
      <c r="F104" s="11"/>
      <c r="G104" s="11"/>
      <c r="H104" s="11"/>
      <c r="I104" s="11"/>
      <c r="J104" s="11"/>
    </row>
    <row r="105" ht="15" customHeight="1" spans="1:4" x14ac:dyDescent="0.25">
      <c r="A105" s="7" t="s">
        <v>6</v>
      </c>
      <c r="B105" s="7" t="s">
        <v>42</v>
      </c>
      <c r="C105" s="7" t="s">
        <v>43</v>
      </c>
      <c r="D105" s="7" t="s">
        <v>44</v>
      </c>
    </row>
    <row r="106" ht="15" customHeight="1" spans="1:4" x14ac:dyDescent="0.25">
      <c r="A106" s="8">
        <v>2022</v>
      </c>
      <c r="B106" s="10">
        <v>41675</v>
      </c>
      <c r="C106" s="10">
        <v>459750</v>
      </c>
      <c r="D106" s="10">
        <v>459750</v>
      </c>
    </row>
    <row r="107" ht="15" customHeight="1" spans="1:4" x14ac:dyDescent="0.25">
      <c r="A107" s="8">
        <v>2023</v>
      </c>
      <c r="B107" s="10">
        <v>44625</v>
      </c>
      <c r="C107" s="10">
        <v>492300</v>
      </c>
      <c r="D107" s="10">
        <v>492300</v>
      </c>
    </row>
    <row r="108" ht="15" customHeight="1" spans="1:4" x14ac:dyDescent="0.25">
      <c r="A108" s="8">
        <v>2024</v>
      </c>
      <c r="B108" s="10">
        <v>47025</v>
      </c>
      <c r="C108" s="10">
        <v>518900</v>
      </c>
      <c r="D108" s="10">
        <v>518900</v>
      </c>
    </row>
    <row r="109" ht="15" customHeight="1" spans="1:4" x14ac:dyDescent="0.25">
      <c r="A109" s="8">
        <v>2025</v>
      </c>
      <c r="B109" s="10">
        <v>48350</v>
      </c>
      <c r="C109" s="10">
        <v>533400</v>
      </c>
      <c r="D109" s="10">
        <v>533400</v>
      </c>
    </row>
    <row r="110" ht="15" customHeight="1" spans="1:4" x14ac:dyDescent="0.25">
      <c r="A110" s="8">
        <v>2026</v>
      </c>
      <c r="B110" s="10">
        <v>49450</v>
      </c>
      <c r="C110" s="10">
        <v>545500</v>
      </c>
      <c r="D110" s="10">
        <v>545500</v>
      </c>
    </row>
    <row r="112" ht="15" customHeight="1" spans="1:10" x14ac:dyDescent="0.25">
      <c r="A112" s="11" t="s">
        <v>37</v>
      </c>
      <c r="B112" s="11"/>
      <c r="C112" s="11"/>
      <c r="D112" s="11"/>
      <c r="E112" s="11"/>
      <c r="F112" s="11"/>
      <c r="G112" s="11"/>
      <c r="H112" s="11"/>
      <c r="I112" s="11"/>
      <c r="J112" s="11"/>
    </row>
    <row r="113" ht="15" customHeight="1" spans="1:4" x14ac:dyDescent="0.25">
      <c r="A113" s="7" t="s">
        <v>6</v>
      </c>
      <c r="B113" s="7" t="s">
        <v>42</v>
      </c>
      <c r="C113" s="7" t="s">
        <v>43</v>
      </c>
      <c r="D113" s="7" t="s">
        <v>44</v>
      </c>
    </row>
    <row r="114" ht="15" customHeight="1" spans="1:4" x14ac:dyDescent="0.25">
      <c r="A114" s="8">
        <v>2022</v>
      </c>
      <c r="B114" s="10">
        <v>55800</v>
      </c>
      <c r="C114" s="10">
        <v>488500</v>
      </c>
      <c r="D114" s="10">
        <v>488500</v>
      </c>
    </row>
    <row r="115" ht="15" customHeight="1" spans="1:4" x14ac:dyDescent="0.25">
      <c r="A115" s="8">
        <v>2023</v>
      </c>
      <c r="B115" s="10">
        <v>59750</v>
      </c>
      <c r="C115" s="10">
        <v>523050</v>
      </c>
      <c r="D115" s="10">
        <v>523050</v>
      </c>
    </row>
    <row r="116" ht="15" customHeight="1" spans="1:4" x14ac:dyDescent="0.25">
      <c r="A116" s="8">
        <v>2024</v>
      </c>
      <c r="B116" s="10">
        <v>63000</v>
      </c>
      <c r="C116" s="10">
        <v>551350</v>
      </c>
      <c r="D116" s="10">
        <v>551350</v>
      </c>
    </row>
    <row r="117" ht="15" customHeight="1" spans="1:4" x14ac:dyDescent="0.25">
      <c r="A117" s="8">
        <v>2025</v>
      </c>
      <c r="B117" s="10">
        <v>64750</v>
      </c>
      <c r="C117" s="10">
        <v>566700</v>
      </c>
      <c r="D117" s="10">
        <v>566700</v>
      </c>
    </row>
    <row r="118" ht="15" customHeight="1" spans="1:4" x14ac:dyDescent="0.25">
      <c r="A118" s="8">
        <v>2026</v>
      </c>
      <c r="B118" s="10">
        <v>66200</v>
      </c>
      <c r="C118" s="10">
        <v>579600</v>
      </c>
      <c r="D118" s="10">
        <v>579600</v>
      </c>
    </row>
    <row r="120" ht="15" customHeight="1" spans="1:10" x14ac:dyDescent="0.25">
      <c r="A120" s="11" t="s">
        <v>38</v>
      </c>
      <c r="B120" s="11"/>
      <c r="C120" s="11"/>
      <c r="D120" s="11"/>
      <c r="E120" s="11"/>
      <c r="F120" s="11"/>
      <c r="G120" s="11"/>
      <c r="H120" s="11"/>
      <c r="I120" s="11"/>
      <c r="J120" s="11"/>
    </row>
    <row r="121" ht="15" customHeight="1" spans="1:4" x14ac:dyDescent="0.25">
      <c r="A121" s="7" t="s">
        <v>6</v>
      </c>
      <c r="B121" s="7" t="s">
        <v>42</v>
      </c>
      <c r="C121" s="7" t="s">
        <v>43</v>
      </c>
      <c r="D121" s="7" t="s">
        <v>44</v>
      </c>
    </row>
    <row r="122" ht="15" customHeight="1" spans="1:4" x14ac:dyDescent="0.25">
      <c r="A122" s="8">
        <v>2022</v>
      </c>
      <c r="B122" s="10">
        <v>41675</v>
      </c>
      <c r="C122" s="10">
        <v>258600</v>
      </c>
      <c r="D122" s="10">
        <v>258600</v>
      </c>
    </row>
    <row r="123" ht="15" customHeight="1" spans="1:4" x14ac:dyDescent="0.25">
      <c r="A123" s="8">
        <v>2023</v>
      </c>
      <c r="B123" s="10">
        <v>44625</v>
      </c>
      <c r="C123" s="10">
        <v>276900</v>
      </c>
      <c r="D123" s="10">
        <v>276900</v>
      </c>
    </row>
    <row r="124" ht="15" customHeight="1" spans="1:4" x14ac:dyDescent="0.25">
      <c r="A124" s="8">
        <v>2024</v>
      </c>
      <c r="B124" s="10">
        <v>47025</v>
      </c>
      <c r="C124" s="10">
        <v>291850</v>
      </c>
      <c r="D124" s="10">
        <v>291850</v>
      </c>
    </row>
    <row r="125" ht="15" customHeight="1" spans="1:4" x14ac:dyDescent="0.25">
      <c r="A125" s="8">
        <v>2025</v>
      </c>
      <c r="B125" s="10">
        <v>48350</v>
      </c>
      <c r="C125" s="10">
        <v>300000</v>
      </c>
      <c r="D125" s="10">
        <v>300000</v>
      </c>
    </row>
    <row r="126" ht="15" customHeight="1" spans="1:4" x14ac:dyDescent="0.25">
      <c r="A126" s="8">
        <v>2026</v>
      </c>
      <c r="B126" s="10">
        <v>49450</v>
      </c>
      <c r="C126" s="10">
        <v>306850</v>
      </c>
      <c r="D126" s="10">
        <v>306850</v>
      </c>
    </row>
    <row r="128" ht="15" customHeight="1" spans="1:10" x14ac:dyDescent="0.25">
      <c r="A128" s="11" t="s">
        <v>39</v>
      </c>
      <c r="B128" s="11"/>
      <c r="C128" s="11"/>
      <c r="D128" s="11"/>
      <c r="E128" s="11"/>
      <c r="F128" s="11"/>
      <c r="G128" s="11"/>
      <c r="H128" s="11"/>
      <c r="I128" s="11"/>
      <c r="J128" s="11"/>
    </row>
    <row r="129" ht="15" customHeight="1" spans="1:4" x14ac:dyDescent="0.25">
      <c r="A129" s="7" t="s">
        <v>6</v>
      </c>
      <c r="B129" s="7" t="s">
        <v>42</v>
      </c>
      <c r="C129" s="7" t="s">
        <v>43</v>
      </c>
      <c r="D129" s="7" t="s">
        <v>44</v>
      </c>
    </row>
    <row r="130" ht="15" customHeight="1" spans="1:4" x14ac:dyDescent="0.25">
      <c r="A130" s="8">
        <v>2022</v>
      </c>
      <c r="B130" s="10">
        <v>2800</v>
      </c>
      <c r="C130" s="10">
        <v>13700</v>
      </c>
      <c r="D130" s="10">
        <v>13700</v>
      </c>
    </row>
    <row r="131" ht="15" customHeight="1" spans="1:4" x14ac:dyDescent="0.25">
      <c r="A131" s="8">
        <v>2023</v>
      </c>
      <c r="B131" s="10">
        <v>3000</v>
      </c>
      <c r="C131" s="10">
        <v>14650</v>
      </c>
      <c r="D131" s="10">
        <v>14650</v>
      </c>
    </row>
    <row r="132" ht="15" customHeight="1" spans="1:4" x14ac:dyDescent="0.25">
      <c r="A132" s="8">
        <v>2024</v>
      </c>
      <c r="B132" s="10">
        <v>3150</v>
      </c>
      <c r="C132" s="10">
        <v>15450</v>
      </c>
      <c r="D132" s="10">
        <v>15450</v>
      </c>
    </row>
    <row r="133" ht="15" customHeight="1" spans="1:4" x14ac:dyDescent="0.25">
      <c r="A133" s="8">
        <v>2025</v>
      </c>
      <c r="B133" s="10">
        <v>3250</v>
      </c>
      <c r="C133" s="10">
        <v>15900</v>
      </c>
      <c r="D133" s="10">
        <v>15900</v>
      </c>
    </row>
    <row r="134" ht="15" customHeight="1" spans="1:4" x14ac:dyDescent="0.25">
      <c r="A134" s="8">
        <v>2026</v>
      </c>
      <c r="B134" s="10">
        <v>3300</v>
      </c>
      <c r="C134" s="10">
        <v>16250</v>
      </c>
      <c r="D134" s="10">
        <v>16250</v>
      </c>
    </row>
    <row r="136" ht="15" customHeight="1" spans="1:10" x14ac:dyDescent="0.25">
      <c r="A136" s="2" t="s">
        <v>45</v>
      </c>
      <c r="B136" s="2"/>
      <c r="C136" s="2"/>
      <c r="D136" s="2"/>
      <c r="E136" s="2"/>
      <c r="F136" s="2"/>
      <c r="G136" s="2"/>
      <c r="H136" s="2"/>
      <c r="I136" s="2"/>
      <c r="J136" s="2"/>
    </row>
    <row r="138" ht="21.75" customHeight="1" spans="1:10" x14ac:dyDescent="0.25">
      <c r="A138" s="6" t="s">
        <v>46</v>
      </c>
      <c r="B138" s="6"/>
      <c r="C138" s="6"/>
      <c r="D138" s="6"/>
      <c r="E138" s="6"/>
      <c r="F138" s="6"/>
      <c r="G138" s="6"/>
      <c r="H138" s="6"/>
      <c r="I138" s="6"/>
      <c r="J138" s="6"/>
    </row>
    <row r="139" ht="23.85" customHeight="1" spans="1:4" x14ac:dyDescent="0.25">
      <c r="A139" s="7" t="s">
        <v>6</v>
      </c>
      <c r="B139" s="7" t="s">
        <v>47</v>
      </c>
      <c r="C139" s="7" t="s">
        <v>48</v>
      </c>
      <c r="D139" s="7" t="s">
        <v>49</v>
      </c>
    </row>
    <row r="140" ht="15" customHeight="1" spans="1:4" x14ac:dyDescent="0.25">
      <c r="A140" s="8">
        <v>2022</v>
      </c>
      <c r="B140" s="10">
        <v>12060000</v>
      </c>
      <c r="C140" s="10">
        <v>16000</v>
      </c>
      <c r="D140" s="10">
        <v>164000</v>
      </c>
    </row>
    <row r="141" ht="15" customHeight="1" spans="1:4" x14ac:dyDescent="0.25">
      <c r="A141" s="8">
        <v>2023</v>
      </c>
      <c r="B141" s="10">
        <v>12920000</v>
      </c>
      <c r="C141" s="10">
        <v>17000</v>
      </c>
      <c r="D141" s="10">
        <v>175000</v>
      </c>
    </row>
    <row r="142" ht="15" customHeight="1" spans="1:4" x14ac:dyDescent="0.25">
      <c r="A142" s="8">
        <v>2024</v>
      </c>
      <c r="B142" s="10">
        <v>13610000</v>
      </c>
      <c r="C142" s="10">
        <v>18000</v>
      </c>
      <c r="D142" s="10">
        <v>185000</v>
      </c>
    </row>
    <row r="143" ht="15" customHeight="1" spans="1:4" x14ac:dyDescent="0.25">
      <c r="A143" s="8">
        <v>2025</v>
      </c>
      <c r="B143" s="10">
        <v>13990000</v>
      </c>
      <c r="C143" s="10">
        <v>19000</v>
      </c>
      <c r="D143" s="10">
        <v>190000</v>
      </c>
    </row>
    <row r="144" ht="15" customHeight="1" spans="1:4" x14ac:dyDescent="0.25">
      <c r="A144" s="8">
        <v>2026</v>
      </c>
      <c r="B144" s="10">
        <v>15000000</v>
      </c>
      <c r="C144" s="10">
        <v>19000</v>
      </c>
      <c r="D144" s="10">
        <v>194000</v>
      </c>
    </row>
    <row r="146" ht="15" customHeight="1" spans="1:10" x14ac:dyDescent="0.25">
      <c r="A146" s="2" t="s">
        <v>50</v>
      </c>
      <c r="B146" s="2"/>
      <c r="C146" s="2"/>
      <c r="D146" s="2"/>
      <c r="E146" s="2"/>
      <c r="F146" s="2"/>
      <c r="G146" s="2"/>
      <c r="H146" s="2"/>
      <c r="I146" s="2"/>
      <c r="J146" s="2"/>
    </row>
    <row r="148" ht="21.75" customHeight="1" spans="1:10" x14ac:dyDescent="0.25">
      <c r="A148" s="6" t="s">
        <v>51</v>
      </c>
      <c r="B148" s="6"/>
      <c r="C148" s="6"/>
      <c r="D148" s="6"/>
      <c r="E148" s="6"/>
      <c r="F148" s="6"/>
      <c r="G148" s="6"/>
      <c r="H148" s="6"/>
      <c r="I148" s="6"/>
      <c r="J148" s="6"/>
    </row>
    <row r="149" ht="23.85" customHeight="1" spans="1:6" x14ac:dyDescent="0.25">
      <c r="A149" s="7" t="s">
        <v>6</v>
      </c>
      <c r="B149" s="7" t="s">
        <v>52</v>
      </c>
      <c r="C149" s="7" t="s">
        <v>53</v>
      </c>
      <c r="D149" s="7" t="s">
        <v>54</v>
      </c>
      <c r="E149" s="7" t="s">
        <v>55</v>
      </c>
      <c r="F149" s="7" t="s">
        <v>56</v>
      </c>
    </row>
    <row r="150" ht="15" customHeight="1" spans="1:6" x14ac:dyDescent="0.25">
      <c r="A150" s="8">
        <v>2022</v>
      </c>
      <c r="B150" s="10">
        <v>20500</v>
      </c>
      <c r="C150" s="10">
        <v>6500</v>
      </c>
      <c r="D150" s="12" t="s">
        <v>57</v>
      </c>
      <c r="E150" s="10">
        <v>61000</v>
      </c>
      <c r="F150" s="10">
        <v>305000</v>
      </c>
    </row>
    <row r="151" ht="15" customHeight="1" spans="1:6" x14ac:dyDescent="0.25">
      <c r="A151" s="8">
        <v>2023</v>
      </c>
      <c r="B151" s="10">
        <v>22500</v>
      </c>
      <c r="C151" s="10">
        <v>7500</v>
      </c>
      <c r="D151" s="12" t="s">
        <v>57</v>
      </c>
      <c r="E151" s="10">
        <v>66000</v>
      </c>
      <c r="F151" s="10">
        <v>330000</v>
      </c>
    </row>
    <row r="152" ht="15" customHeight="1" spans="1:6" x14ac:dyDescent="0.25">
      <c r="A152" s="8">
        <v>2024</v>
      </c>
      <c r="B152" s="10">
        <v>23000</v>
      </c>
      <c r="C152" s="10">
        <v>7500</v>
      </c>
      <c r="D152" s="12" t="s">
        <v>57</v>
      </c>
      <c r="E152" s="10">
        <v>69000</v>
      </c>
      <c r="F152" s="10">
        <v>345000</v>
      </c>
    </row>
    <row r="153" ht="15" customHeight="1" spans="1:6" x14ac:dyDescent="0.25">
      <c r="A153" s="8">
        <v>2025</v>
      </c>
      <c r="B153" s="10">
        <v>23500</v>
      </c>
      <c r="C153" s="10">
        <v>7500</v>
      </c>
      <c r="D153" s="10">
        <v>11250</v>
      </c>
      <c r="E153" s="10">
        <v>70000</v>
      </c>
      <c r="F153" s="10">
        <v>350000</v>
      </c>
    </row>
    <row r="154" ht="15" customHeight="1" spans="1:6" x14ac:dyDescent="0.25">
      <c r="A154" s="8">
        <v>2026</v>
      </c>
      <c r="B154" s="10">
        <v>24500</v>
      </c>
      <c r="C154" s="10">
        <v>8000</v>
      </c>
      <c r="D154" s="10">
        <v>11250</v>
      </c>
      <c r="E154" s="10">
        <v>72000</v>
      </c>
      <c r="F154" s="10">
        <v>360000</v>
      </c>
    </row>
    <row r="156" ht="15" customHeight="1" spans="1:10" x14ac:dyDescent="0.25">
      <c r="A156" s="2" t="s">
        <v>58</v>
      </c>
      <c r="B156" s="2"/>
      <c r="C156" s="2"/>
      <c r="D156" s="2"/>
      <c r="E156" s="2"/>
      <c r="F156" s="2"/>
      <c r="G156" s="2"/>
      <c r="H156" s="2"/>
      <c r="I156" s="2"/>
      <c r="J156" s="2"/>
    </row>
    <row r="158" ht="21.75" customHeight="1" spans="1:10" x14ac:dyDescent="0.25">
      <c r="A158" s="6" t="s">
        <v>59</v>
      </c>
      <c r="B158" s="6"/>
      <c r="C158" s="6"/>
      <c r="D158" s="6"/>
      <c r="E158" s="6"/>
      <c r="F158" s="6"/>
      <c r="G158" s="6"/>
      <c r="H158" s="6"/>
      <c r="I158" s="6"/>
      <c r="J158" s="6"/>
    </row>
    <row r="159" ht="15" customHeight="1" spans="1:3" x14ac:dyDescent="0.25">
      <c r="A159" s="7" t="s">
        <v>6</v>
      </c>
      <c r="B159" s="7" t="s">
        <v>60</v>
      </c>
      <c r="C159" s="7" t="s">
        <v>53</v>
      </c>
    </row>
    <row r="160" ht="15" customHeight="1" spans="1:3" x14ac:dyDescent="0.25">
      <c r="A160" s="8">
        <v>2022</v>
      </c>
      <c r="B160" s="10">
        <v>6000</v>
      </c>
      <c r="C160" s="10">
        <v>1000</v>
      </c>
    </row>
    <row r="161" ht="15" customHeight="1" spans="1:3" x14ac:dyDescent="0.25">
      <c r="A161" s="8">
        <v>2023</v>
      </c>
      <c r="B161" s="10">
        <v>6500</v>
      </c>
      <c r="C161" s="10">
        <v>1000</v>
      </c>
    </row>
    <row r="162" ht="15" customHeight="1" spans="1:3" x14ac:dyDescent="0.25">
      <c r="A162" s="8">
        <v>2024</v>
      </c>
      <c r="B162" s="10">
        <v>7000</v>
      </c>
      <c r="C162" s="10">
        <v>1000</v>
      </c>
    </row>
    <row r="163" ht="15" customHeight="1" spans="1:3" x14ac:dyDescent="0.25">
      <c r="A163" s="8">
        <v>2025</v>
      </c>
      <c r="B163" s="10">
        <v>7000</v>
      </c>
      <c r="C163" s="10">
        <v>1000</v>
      </c>
    </row>
    <row r="164" ht="15" customHeight="1" spans="1:3" x14ac:dyDescent="0.25">
      <c r="A164" s="8">
        <v>2026</v>
      </c>
      <c r="B164" s="10">
        <v>7500</v>
      </c>
      <c r="C164" s="10">
        <v>1000</v>
      </c>
    </row>
    <row r="166" ht="15" customHeight="1" spans="1:10" x14ac:dyDescent="0.25">
      <c r="A166" s="2" t="s">
        <v>61</v>
      </c>
      <c r="B166" s="2"/>
      <c r="C166" s="2"/>
      <c r="D166" s="2"/>
      <c r="E166" s="2"/>
      <c r="F166" s="2"/>
      <c r="G166" s="2"/>
      <c r="H166" s="2"/>
      <c r="I166" s="2"/>
      <c r="J166" s="2"/>
    </row>
    <row r="168" ht="21.75" customHeight="1" spans="1:10" x14ac:dyDescent="0.25">
      <c r="A168" s="6" t="s">
        <v>62</v>
      </c>
      <c r="B168" s="6"/>
      <c r="C168" s="6"/>
      <c r="D168" s="6"/>
      <c r="E168" s="6"/>
      <c r="F168" s="6"/>
      <c r="G168" s="6"/>
      <c r="H168" s="6"/>
      <c r="I168" s="6"/>
      <c r="J168" s="6"/>
    </row>
    <row r="169" ht="15" customHeight="1" spans="1:3" x14ac:dyDescent="0.25">
      <c r="A169" s="7" t="s">
        <v>6</v>
      </c>
      <c r="B169" s="7" t="s">
        <v>60</v>
      </c>
      <c r="C169" s="7" t="s">
        <v>53</v>
      </c>
    </row>
    <row r="170" ht="15" customHeight="1" spans="1:3" x14ac:dyDescent="0.25">
      <c r="A170" s="8">
        <v>2022</v>
      </c>
      <c r="B170" s="10">
        <v>14000</v>
      </c>
      <c r="C170" s="10">
        <v>3000</v>
      </c>
    </row>
    <row r="171" ht="15" customHeight="1" spans="1:3" x14ac:dyDescent="0.25">
      <c r="A171" s="8">
        <v>2023</v>
      </c>
      <c r="B171" s="10">
        <v>15500</v>
      </c>
      <c r="C171" s="10">
        <v>3500</v>
      </c>
    </row>
    <row r="172" ht="15" customHeight="1" spans="1:3" x14ac:dyDescent="0.25">
      <c r="A172" s="8">
        <v>2024</v>
      </c>
      <c r="B172" s="10">
        <v>16000</v>
      </c>
      <c r="C172" s="10">
        <v>3500</v>
      </c>
    </row>
    <row r="173" ht="15" customHeight="1" spans="1:3" x14ac:dyDescent="0.25">
      <c r="A173" s="8">
        <v>2025</v>
      </c>
      <c r="B173" s="10">
        <v>16500</v>
      </c>
      <c r="C173" s="10">
        <v>3500</v>
      </c>
    </row>
    <row r="174" ht="15" customHeight="1" spans="1:3" x14ac:dyDescent="0.25">
      <c r="A174" s="8">
        <v>2026</v>
      </c>
      <c r="B174" s="10">
        <v>17000</v>
      </c>
      <c r="C174" s="10">
        <v>4000</v>
      </c>
    </row>
    <row r="176" ht="15" customHeight="1" spans="1:10" x14ac:dyDescent="0.25">
      <c r="A176" s="2" t="s">
        <v>63</v>
      </c>
      <c r="B176" s="2"/>
      <c r="C176" s="2"/>
      <c r="D176" s="2"/>
      <c r="E176" s="2"/>
      <c r="F176" s="2"/>
      <c r="G176" s="2"/>
      <c r="H176" s="2"/>
      <c r="I176" s="2"/>
      <c r="J176" s="2"/>
    </row>
    <row r="178" ht="21.75" customHeight="1" spans="1:10" x14ac:dyDescent="0.25">
      <c r="A178" s="6" t="s">
        <v>64</v>
      </c>
      <c r="B178" s="6"/>
      <c r="C178" s="6"/>
      <c r="D178" s="6"/>
      <c r="E178" s="6"/>
      <c r="F178" s="6"/>
      <c r="G178" s="6"/>
      <c r="H178" s="6"/>
      <c r="I178" s="6"/>
      <c r="J178" s="6"/>
    </row>
    <row r="179" ht="23.85" customHeight="1" spans="1:8" x14ac:dyDescent="0.25">
      <c r="A179" s="7" t="s">
        <v>6</v>
      </c>
      <c r="B179" s="7" t="s">
        <v>65</v>
      </c>
      <c r="C179" s="7" t="s">
        <v>66</v>
      </c>
      <c r="D179" s="7" t="s">
        <v>67</v>
      </c>
      <c r="E179" s="7" t="s">
        <v>68</v>
      </c>
      <c r="F179" s="7" t="s">
        <v>69</v>
      </c>
      <c r="G179" s="7" t="s">
        <v>70</v>
      </c>
      <c r="H179" s="7" t="s">
        <v>71</v>
      </c>
    </row>
    <row r="180" ht="15" customHeight="1" spans="1:8" x14ac:dyDescent="0.25">
      <c r="A180" s="8">
        <v>2022</v>
      </c>
      <c r="B180" s="10">
        <v>3650</v>
      </c>
      <c r="C180" s="10">
        <v>7300</v>
      </c>
      <c r="D180" s="10">
        <v>1000</v>
      </c>
      <c r="E180" s="10">
        <v>1400</v>
      </c>
      <c r="F180" s="10">
        <v>2800</v>
      </c>
      <c r="G180" s="10">
        <v>7050</v>
      </c>
      <c r="H180" s="10">
        <v>14100</v>
      </c>
    </row>
    <row r="181" ht="15" customHeight="1" spans="1:8" x14ac:dyDescent="0.25">
      <c r="A181" s="8">
        <v>2023</v>
      </c>
      <c r="B181" s="10">
        <v>3850</v>
      </c>
      <c r="C181" s="10">
        <v>7750</v>
      </c>
      <c r="D181" s="10">
        <v>1000</v>
      </c>
      <c r="E181" s="10">
        <v>1500</v>
      </c>
      <c r="F181" s="10">
        <v>3000</v>
      </c>
      <c r="G181" s="10">
        <v>7500</v>
      </c>
      <c r="H181" s="10">
        <v>15000</v>
      </c>
    </row>
    <row r="182" ht="15" customHeight="1" spans="1:8" x14ac:dyDescent="0.25">
      <c r="A182" s="8">
        <v>2024</v>
      </c>
      <c r="B182" s="10">
        <v>4150</v>
      </c>
      <c r="C182" s="10">
        <v>8300</v>
      </c>
      <c r="D182" s="10">
        <v>1000</v>
      </c>
      <c r="E182" s="10">
        <v>1600</v>
      </c>
      <c r="F182" s="10">
        <v>3200</v>
      </c>
      <c r="G182" s="10">
        <v>8050</v>
      </c>
      <c r="H182" s="10">
        <v>16100</v>
      </c>
    </row>
    <row r="183" ht="15" customHeight="1" spans="1:8" x14ac:dyDescent="0.25">
      <c r="A183" s="8">
        <v>2025</v>
      </c>
      <c r="B183" s="10">
        <v>4300</v>
      </c>
      <c r="C183" s="10">
        <v>8550</v>
      </c>
      <c r="D183" s="10">
        <v>1000</v>
      </c>
      <c r="E183" s="10">
        <v>1650</v>
      </c>
      <c r="F183" s="10">
        <v>3300</v>
      </c>
      <c r="G183" s="10">
        <v>8300</v>
      </c>
      <c r="H183" s="10">
        <v>16600</v>
      </c>
    </row>
    <row r="184" ht="15" customHeight="1" spans="1:8" x14ac:dyDescent="0.25">
      <c r="A184" s="8">
        <v>2026</v>
      </c>
      <c r="B184" s="10">
        <v>4400</v>
      </c>
      <c r="C184" s="10">
        <v>8750</v>
      </c>
      <c r="D184" s="10">
        <v>1000</v>
      </c>
      <c r="E184" s="10">
        <v>1700</v>
      </c>
      <c r="F184" s="10">
        <v>3400</v>
      </c>
      <c r="G184" s="10">
        <v>8500</v>
      </c>
      <c r="H184" s="10">
        <v>17000</v>
      </c>
    </row>
    <row r="186" ht="15" customHeight="1" spans="1:10" x14ac:dyDescent="0.25">
      <c r="A186" s="2" t="s">
        <v>72</v>
      </c>
      <c r="B186" s="2"/>
      <c r="C186" s="2"/>
      <c r="D186" s="2"/>
      <c r="E186" s="2"/>
      <c r="F186" s="2"/>
      <c r="G186" s="2"/>
      <c r="H186" s="2"/>
      <c r="I186" s="2"/>
      <c r="J186" s="2"/>
    </row>
    <row r="188" ht="21.75" customHeight="1" spans="1:10" x14ac:dyDescent="0.25">
      <c r="A188" s="6" t="s">
        <v>73</v>
      </c>
      <c r="B188" s="6"/>
      <c r="C188" s="6"/>
      <c r="D188" s="6"/>
      <c r="E188" s="6"/>
      <c r="F188" s="6"/>
      <c r="G188" s="6"/>
      <c r="H188" s="6"/>
      <c r="I188" s="6"/>
      <c r="J188" s="6"/>
    </row>
    <row r="189" ht="23.85" customHeight="1" spans="1:5" x14ac:dyDescent="0.25">
      <c r="A189" s="7" t="s">
        <v>6</v>
      </c>
      <c r="B189" s="7" t="s">
        <v>74</v>
      </c>
      <c r="C189" s="7" t="s">
        <v>75</v>
      </c>
      <c r="D189" s="7" t="s">
        <v>76</v>
      </c>
      <c r="E189" s="7" t="s">
        <v>77</v>
      </c>
    </row>
    <row r="190" ht="15" customHeight="1" spans="1:5" x14ac:dyDescent="0.25">
      <c r="A190" s="8">
        <v>2022</v>
      </c>
      <c r="B190" s="10">
        <v>340100</v>
      </c>
      <c r="C190" s="10">
        <v>170050</v>
      </c>
      <c r="D190" s="10">
        <v>100000</v>
      </c>
      <c r="E190" s="10">
        <v>50000</v>
      </c>
    </row>
    <row r="191" ht="15" customHeight="1" spans="1:5" x14ac:dyDescent="0.25">
      <c r="A191" s="8">
        <v>2023</v>
      </c>
      <c r="B191" s="10">
        <v>364200</v>
      </c>
      <c r="C191" s="10">
        <v>182100</v>
      </c>
      <c r="D191" s="10">
        <v>100000</v>
      </c>
      <c r="E191" s="10">
        <v>50000</v>
      </c>
    </row>
    <row r="192" ht="15" customHeight="1" spans="1:5" x14ac:dyDescent="0.25">
      <c r="A192" s="8">
        <v>2024</v>
      </c>
      <c r="B192" s="10">
        <v>383900</v>
      </c>
      <c r="C192" s="10">
        <v>191950</v>
      </c>
      <c r="D192" s="10">
        <v>100000</v>
      </c>
      <c r="E192" s="10">
        <v>50000</v>
      </c>
    </row>
    <row r="193" ht="15" customHeight="1" spans="1:5" x14ac:dyDescent="0.25">
      <c r="A193" s="8">
        <v>2025</v>
      </c>
      <c r="B193" s="10">
        <v>394600</v>
      </c>
      <c r="C193" s="10">
        <v>197300</v>
      </c>
      <c r="D193" s="10">
        <v>100000</v>
      </c>
      <c r="E193" s="10">
        <v>50000</v>
      </c>
    </row>
    <row r="194" ht="15" customHeight="1" spans="1:5" x14ac:dyDescent="0.25">
      <c r="A194" s="8">
        <v>2026</v>
      </c>
      <c r="B194" s="10">
        <v>403550</v>
      </c>
      <c r="C194" s="10">
        <v>201775</v>
      </c>
      <c r="D194" s="10">
        <v>150000</v>
      </c>
      <c r="E194" s="10">
        <v>75000</v>
      </c>
    </row>
    <row r="196" ht="15" customHeight="1" spans="1:10" x14ac:dyDescent="0.25">
      <c r="A196" s="2" t="s">
        <v>78</v>
      </c>
      <c r="B196" s="2"/>
      <c r="C196" s="2"/>
      <c r="D196" s="2"/>
      <c r="E196" s="2"/>
      <c r="F196" s="2"/>
      <c r="G196" s="2"/>
      <c r="H196" s="2"/>
      <c r="I196" s="2"/>
      <c r="J196" s="2"/>
    </row>
    <row r="198" ht="21.75" customHeight="1" spans="1:10" x14ac:dyDescent="0.25">
      <c r="A198" s="6" t="s">
        <v>79</v>
      </c>
      <c r="B198" s="6"/>
      <c r="C198" s="6"/>
      <c r="D198" s="6"/>
      <c r="E198" s="6"/>
      <c r="F198" s="6"/>
      <c r="G198" s="6"/>
      <c r="H198" s="6"/>
      <c r="I198" s="6"/>
      <c r="J198" s="6"/>
    </row>
    <row r="199" ht="15" customHeight="1" spans="1:10" x14ac:dyDescent="0.25">
      <c r="A199" s="13" t="s">
        <v>80</v>
      </c>
      <c r="B199" s="13"/>
      <c r="C199" s="13"/>
      <c r="D199" s="13"/>
      <c r="E199" s="13"/>
      <c r="F199" s="13"/>
      <c r="G199" s="13"/>
      <c r="H199" s="13"/>
      <c r="I199" s="13"/>
      <c r="J199" s="13"/>
    </row>
    <row r="200" ht="15" customHeight="1" spans="1:10" x14ac:dyDescent="0.25">
      <c r="A200" s="13" t="s">
        <v>81</v>
      </c>
      <c r="B200" s="13"/>
      <c r="C200" s="13"/>
      <c r="D200" s="13"/>
      <c r="E200" s="13"/>
      <c r="F200" s="13"/>
      <c r="G200" s="13"/>
      <c r="H200" s="13"/>
      <c r="I200" s="13"/>
      <c r="J200" s="13"/>
    </row>
    <row r="201" ht="15" customHeight="1" spans="1:10" x14ac:dyDescent="0.25">
      <c r="A201" s="13" t="s">
        <v>82</v>
      </c>
      <c r="B201" s="13"/>
      <c r="C201" s="13"/>
      <c r="D201" s="13"/>
      <c r="E201" s="13"/>
      <c r="F201" s="13"/>
      <c r="G201" s="13"/>
      <c r="H201" s="13"/>
      <c r="I201" s="13"/>
      <c r="J201" s="13"/>
    </row>
    <row r="202" ht="15" customHeight="1" spans="1:10" x14ac:dyDescent="0.25">
      <c r="A202" s="13" t="s">
        <v>83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ht="15" customHeight="1" spans="1:10" x14ac:dyDescent="0.25">
      <c r="A203" s="13" t="s">
        <v>84</v>
      </c>
      <c r="B203" s="13"/>
      <c r="C203" s="13"/>
      <c r="D203" s="13"/>
      <c r="E203" s="13"/>
      <c r="F203" s="13"/>
      <c r="G203" s="13"/>
      <c r="H203" s="13"/>
      <c r="I203" s="13"/>
      <c r="J203" s="13"/>
    </row>
    <row r="204" ht="15" customHeight="1" spans="1:10" x14ac:dyDescent="0.25">
      <c r="A204" s="13" t="s">
        <v>85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6" spans="1:1" x14ac:dyDescent="0.25">
      <c r="A206" t="s">
        <v>86</v>
      </c>
    </row>
    <row r="207" spans="1:5" x14ac:dyDescent="0.25">
      <c r="A207" t="s">
        <v>6</v>
      </c>
      <c r="B207" t="s">
        <v>74</v>
      </c>
      <c r="C207" t="s">
        <v>87</v>
      </c>
      <c r="D207" t="s">
        <v>88</v>
      </c>
      <c r="E207" t="s">
        <v>89</v>
      </c>
    </row>
    <row r="208" spans="1:5" x14ac:dyDescent="0.25">
      <c r="A208">
        <v>2022</v>
      </c>
      <c r="B208">
        <v>204000</v>
      </c>
      <c r="C208">
        <v>214000</v>
      </c>
      <c r="D208">
        <v>129000</v>
      </c>
      <c r="E208">
        <v>144000</v>
      </c>
    </row>
    <row r="209" spans="1:5" x14ac:dyDescent="0.25">
      <c r="A209">
        <v>2023</v>
      </c>
      <c r="B209">
        <v>218000</v>
      </c>
      <c r="C209">
        <v>228000</v>
      </c>
      <c r="D209">
        <v>138000</v>
      </c>
      <c r="E209">
        <v>153000</v>
      </c>
    </row>
    <row r="210" spans="1:5" x14ac:dyDescent="0.25">
      <c r="A210">
        <v>2024</v>
      </c>
      <c r="B210">
        <v>230000</v>
      </c>
      <c r="C210">
        <v>240000</v>
      </c>
      <c r="D210">
        <v>146000</v>
      </c>
      <c r="E210">
        <v>161000</v>
      </c>
    </row>
    <row r="211" spans="1:5" x14ac:dyDescent="0.25">
      <c r="A211">
        <v>2025</v>
      </c>
      <c r="B211">
        <v>236000</v>
      </c>
      <c r="C211">
        <v>246000</v>
      </c>
      <c r="D211">
        <v>150000</v>
      </c>
      <c r="E211">
        <v>165000</v>
      </c>
    </row>
    <row r="212" spans="1:5" x14ac:dyDescent="0.25">
      <c r="A212">
        <v>2026</v>
      </c>
      <c r="B212">
        <v>242000</v>
      </c>
      <c r="C212">
        <v>252000</v>
      </c>
      <c r="D212">
        <v>153000</v>
      </c>
      <c r="E212">
        <v>168000</v>
      </c>
    </row>
    <row r="214" spans="1:1" x14ac:dyDescent="0.25">
      <c r="A214" t="s">
        <v>90</v>
      </c>
    </row>
    <row r="215" spans="1:7" x14ac:dyDescent="0.25">
      <c r="A215" t="s">
        <v>6</v>
      </c>
      <c r="B215" t="s">
        <v>91</v>
      </c>
      <c r="C215" t="s">
        <v>92</v>
      </c>
      <c r="D215" t="s">
        <v>93</v>
      </c>
      <c r="E215" t="s">
        <v>94</v>
      </c>
      <c r="F215" t="s">
        <v>95</v>
      </c>
      <c r="G215" t="s">
        <v>96</v>
      </c>
    </row>
    <row r="216" spans="1:7" x14ac:dyDescent="0.25">
      <c r="A216">
        <v>2022</v>
      </c>
      <c r="B216">
        <v>109000</v>
      </c>
      <c r="C216">
        <v>129000</v>
      </c>
      <c r="D216">
        <v>68000</v>
      </c>
      <c r="E216">
        <v>78000</v>
      </c>
      <c r="F216">
        <v>204000</v>
      </c>
      <c r="G216">
        <v>214000</v>
      </c>
    </row>
    <row r="217" spans="1:7" x14ac:dyDescent="0.25">
      <c r="A217">
        <v>2023</v>
      </c>
      <c r="B217">
        <v>116000</v>
      </c>
      <c r="C217">
        <v>136000</v>
      </c>
      <c r="D217">
        <v>73000</v>
      </c>
      <c r="E217">
        <v>83000</v>
      </c>
      <c r="F217">
        <v>218000</v>
      </c>
      <c r="G217">
        <v>228000</v>
      </c>
    </row>
    <row r="218" spans="1:7" x14ac:dyDescent="0.25">
      <c r="A218">
        <v>2024</v>
      </c>
      <c r="B218">
        <v>123000</v>
      </c>
      <c r="C218">
        <v>143000</v>
      </c>
      <c r="D218">
        <v>77000</v>
      </c>
      <c r="E218">
        <v>87000</v>
      </c>
      <c r="F218">
        <v>230000</v>
      </c>
      <c r="G218">
        <v>240000</v>
      </c>
    </row>
    <row r="219" spans="1:7" x14ac:dyDescent="0.25">
      <c r="A219">
        <v>2025</v>
      </c>
      <c r="B219">
        <v>126000</v>
      </c>
      <c r="C219">
        <v>146000</v>
      </c>
      <c r="D219">
        <v>79000</v>
      </c>
      <c r="E219">
        <v>89000</v>
      </c>
      <c r="F219">
        <v>236000</v>
      </c>
      <c r="G219">
        <v>246000</v>
      </c>
    </row>
    <row r="220" spans="1:7" x14ac:dyDescent="0.25">
      <c r="A220">
        <v>2026</v>
      </c>
      <c r="B220">
        <v>129000</v>
      </c>
      <c r="C220">
        <v>149000</v>
      </c>
      <c r="D220">
        <v>81000</v>
      </c>
      <c r="E220">
        <v>91000</v>
      </c>
      <c r="F220">
        <v>242000</v>
      </c>
      <c r="G220">
        <v>252000</v>
      </c>
    </row>
    <row r="222" spans="1:1" x14ac:dyDescent="0.25">
      <c r="A222" t="s">
        <v>97</v>
      </c>
    </row>
    <row r="223" spans="1:6" x14ac:dyDescent="0.25">
      <c r="A223" t="s">
        <v>6</v>
      </c>
      <c r="B223" t="s">
        <v>98</v>
      </c>
      <c r="C223" t="s">
        <v>74</v>
      </c>
      <c r="D223" t="s">
        <v>87</v>
      </c>
      <c r="E223" t="s">
        <v>99</v>
      </c>
      <c r="F223" t="s">
        <v>100</v>
      </c>
    </row>
    <row r="224" spans="1:6" x14ac:dyDescent="0.25">
      <c r="A224">
        <v>2022</v>
      </c>
      <c r="B224">
        <v>2500</v>
      </c>
      <c r="C224">
        <v>145000</v>
      </c>
      <c r="D224">
        <v>175000</v>
      </c>
      <c r="E224">
        <v>70000</v>
      </c>
      <c r="F224">
        <v>85000</v>
      </c>
    </row>
    <row r="225" spans="1:6" x14ac:dyDescent="0.25">
      <c r="A225">
        <v>2023</v>
      </c>
      <c r="B225">
        <v>2500</v>
      </c>
      <c r="C225">
        <v>155000</v>
      </c>
      <c r="D225">
        <v>185000</v>
      </c>
      <c r="E225">
        <v>75000</v>
      </c>
      <c r="F225">
        <v>90000</v>
      </c>
    </row>
    <row r="226" spans="1:6" x14ac:dyDescent="0.25">
      <c r="A226">
        <v>2024</v>
      </c>
      <c r="B226">
        <v>2500</v>
      </c>
      <c r="C226">
        <v>165000</v>
      </c>
      <c r="D226">
        <v>195000</v>
      </c>
      <c r="E226">
        <v>80000</v>
      </c>
      <c r="F226">
        <v>95000</v>
      </c>
    </row>
    <row r="227" spans="1:6" x14ac:dyDescent="0.25">
      <c r="A227">
        <v>2025</v>
      </c>
      <c r="B227">
        <v>2500</v>
      </c>
      <c r="C227">
        <v>170000</v>
      </c>
      <c r="D227">
        <v>200000</v>
      </c>
      <c r="E227">
        <v>85000</v>
      </c>
      <c r="F227">
        <v>100000</v>
      </c>
    </row>
    <row r="228" spans="1:6" x14ac:dyDescent="0.25">
      <c r="A228">
        <v>2026</v>
      </c>
      <c r="B228">
        <v>2500</v>
      </c>
      <c r="C228">
        <v>175000</v>
      </c>
      <c r="D228">
        <v>205000</v>
      </c>
      <c r="E228">
        <v>85000</v>
      </c>
      <c r="F228">
        <v>100000</v>
      </c>
    </row>
    <row r="230" spans="1:1" x14ac:dyDescent="0.25">
      <c r="A230" t="s">
        <v>101</v>
      </c>
    </row>
    <row r="231" spans="1:4" x14ac:dyDescent="0.25">
      <c r="A231" t="s">
        <v>6</v>
      </c>
      <c r="B231" t="s">
        <v>102</v>
      </c>
      <c r="C231" t="s">
        <v>103</v>
      </c>
      <c r="D231" t="s">
        <v>104</v>
      </c>
    </row>
    <row r="232" spans="1:4" x14ac:dyDescent="0.25">
      <c r="A232">
        <v>2022</v>
      </c>
      <c r="B232">
        <v>2000</v>
      </c>
      <c r="C232">
        <v>1500</v>
      </c>
      <c r="D232">
        <v>500</v>
      </c>
    </row>
    <row r="233" spans="1:4" x14ac:dyDescent="0.25">
      <c r="A233">
        <v>2023</v>
      </c>
      <c r="B233">
        <v>2000</v>
      </c>
      <c r="C233">
        <v>1600</v>
      </c>
      <c r="D233">
        <v>500</v>
      </c>
    </row>
    <row r="234" spans="1:4" x14ac:dyDescent="0.25">
      <c r="A234">
        <v>2024</v>
      </c>
      <c r="B234">
        <v>2000</v>
      </c>
      <c r="C234">
        <v>1700</v>
      </c>
      <c r="D234">
        <v>500</v>
      </c>
    </row>
    <row r="235" spans="1:4" x14ac:dyDescent="0.25">
      <c r="A235">
        <v>2025</v>
      </c>
      <c r="B235">
        <v>2200</v>
      </c>
      <c r="C235">
        <v>1700</v>
      </c>
      <c r="D235">
        <v>500</v>
      </c>
    </row>
    <row r="236" spans="1:4" x14ac:dyDescent="0.25">
      <c r="A236">
        <v>2026</v>
      </c>
      <c r="B236">
        <v>2200</v>
      </c>
      <c r="C236">
        <v>1700</v>
      </c>
      <c r="D236">
        <v>500</v>
      </c>
    </row>
    <row r="238" spans="1:1" x14ac:dyDescent="0.25">
      <c r="A238" t="s">
        <v>105</v>
      </c>
    </row>
    <row r="239" spans="1:4" x14ac:dyDescent="0.25">
      <c r="A239" t="s">
        <v>6</v>
      </c>
      <c r="B239" t="s">
        <v>106</v>
      </c>
      <c r="C239" t="s">
        <v>107</v>
      </c>
      <c r="D239" t="s">
        <v>108</v>
      </c>
    </row>
    <row r="240" spans="1:4" x14ac:dyDescent="0.25">
      <c r="A240">
        <v>2022</v>
      </c>
      <c r="B240">
        <v>41000</v>
      </c>
      <c r="C240">
        <v>44000</v>
      </c>
      <c r="D240">
        <v>68000</v>
      </c>
    </row>
    <row r="241" spans="1:4" x14ac:dyDescent="0.25">
      <c r="A241">
        <v>2023</v>
      </c>
      <c r="B241">
        <v>43500</v>
      </c>
      <c r="C241">
        <v>47500</v>
      </c>
      <c r="D241">
        <v>73000</v>
      </c>
    </row>
    <row r="242" spans="1:4" x14ac:dyDescent="0.25">
      <c r="A242">
        <v>2024</v>
      </c>
      <c r="B242">
        <v>46000</v>
      </c>
      <c r="C242">
        <v>50000</v>
      </c>
      <c r="D242">
        <v>76500</v>
      </c>
    </row>
    <row r="243" spans="1:4" x14ac:dyDescent="0.25">
      <c r="A243">
        <v>2025</v>
      </c>
      <c r="B243">
        <v>47500</v>
      </c>
      <c r="C243">
        <v>51000</v>
      </c>
      <c r="D243">
        <v>79000</v>
      </c>
    </row>
    <row r="244" spans="1:4" x14ac:dyDescent="0.25">
      <c r="A244">
        <v>2026</v>
      </c>
      <c r="B244">
        <v>48500</v>
      </c>
      <c r="C244">
        <v>52500</v>
      </c>
      <c r="D244">
        <v>80500</v>
      </c>
    </row>
  </sheetData>
  <mergeCells count="45">
    <mergeCell ref="A1:J1"/>
    <mergeCell ref="A2:J2"/>
    <mergeCell ref="E3:G3"/>
    <mergeCell ref="A5:J5"/>
    <mergeCell ref="A13:J13"/>
    <mergeCell ref="A15:J15"/>
    <mergeCell ref="A23:J23"/>
    <mergeCell ref="A25:J25"/>
    <mergeCell ref="A26:J26"/>
    <mergeCell ref="A34:J34"/>
    <mergeCell ref="A42:J42"/>
    <mergeCell ref="A50:J50"/>
    <mergeCell ref="A52:J52"/>
    <mergeCell ref="A53:J53"/>
    <mergeCell ref="A61:J61"/>
    <mergeCell ref="A69:J69"/>
    <mergeCell ref="A77:J77"/>
    <mergeCell ref="A85:J85"/>
    <mergeCell ref="A93:J93"/>
    <mergeCell ref="A95:J95"/>
    <mergeCell ref="A96:J96"/>
    <mergeCell ref="A104:J104"/>
    <mergeCell ref="A112:J112"/>
    <mergeCell ref="A120:J120"/>
    <mergeCell ref="A128:J128"/>
    <mergeCell ref="A136:J136"/>
    <mergeCell ref="A138:J138"/>
    <mergeCell ref="A146:J146"/>
    <mergeCell ref="A148:J148"/>
    <mergeCell ref="A156:J156"/>
    <mergeCell ref="A158:J158"/>
    <mergeCell ref="A166:J166"/>
    <mergeCell ref="A168:J168"/>
    <mergeCell ref="A176:J176"/>
    <mergeCell ref="A178:J178"/>
    <mergeCell ref="A186:J186"/>
    <mergeCell ref="A188:J188"/>
    <mergeCell ref="A196:J196"/>
    <mergeCell ref="A198:J198"/>
    <mergeCell ref="A199:J199"/>
    <mergeCell ref="A200:J200"/>
    <mergeCell ref="A201:J201"/>
    <mergeCell ref="A202:J202"/>
    <mergeCell ref="A203:J203"/>
    <mergeCell ref="A204:J20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workbookViewId="0" zoomScale="100" zoomScaleNormal="100" view="normal">
      <selection activeCell="A9" sqref="A9"/>
    </sheetView>
  </sheetViews>
  <sheetFormatPr defaultRowHeight="12.75" outlineLevelRow="0" outlineLevelCol="0" x14ac:dyDescent="0" defaultColWidth="8.83203125" customHeight="1"/>
  <cols>
    <col min="1" max="1" width="25.67" customWidth="1"/>
    <col min="2" max="13" width="9.67" customWidth="1"/>
  </cols>
  <sheetData>
    <row r="1" ht="18" customHeight="1" spans="1:23" x14ac:dyDescent="0.25">
      <c r="A1" s="14" t="s">
        <v>109</v>
      </c>
      <c r="B1" s="14"/>
      <c r="C1" s="14"/>
      <c r="D1" s="14"/>
      <c r="E1" s="14"/>
      <c r="F1" s="14"/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ht="12.75" customHeight="1" spans="1:23" s="16" customForma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ht="12.75" customHeight="1" spans="1:23" s="16" customFormat="1" x14ac:dyDescent="0.25">
      <c r="A3" s="17">
        <v>44119</v>
      </c>
      <c r="B3" s="18" t="s">
        <v>110</v>
      </c>
      <c r="C3" s="15" t="s">
        <v>111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ht="12.75" customHeight="1" spans="1:23" s="16" customFormat="1" x14ac:dyDescent="0.25">
      <c r="A4" s="18"/>
      <c r="B4" s="18"/>
      <c r="C4" s="18"/>
      <c r="D4" s="18"/>
      <c r="E4" s="18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ht="12.75" customHeight="1" spans="1:23" s="16" customFormat="1" x14ac:dyDescent="0.25">
      <c r="A5" s="18"/>
      <c r="B5" s="18"/>
      <c r="C5" s="18"/>
      <c r="D5" s="18"/>
      <c r="E5" s="18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ht="21" customHeight="1" spans="1:23" x14ac:dyDescent="0.25">
      <c r="A6" s="14" t="s">
        <v>112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ht="12.75" customHeight="1" spans="1:23" x14ac:dyDescent="0.25">
      <c r="A7" s="18" t="s">
        <v>113</v>
      </c>
      <c r="B7" s="18" t="s">
        <v>114</v>
      </c>
      <c r="C7" s="18" t="s">
        <v>115</v>
      </c>
      <c r="D7" s="18" t="s">
        <v>116</v>
      </c>
      <c r="E7" s="18" t="s">
        <v>117</v>
      </c>
      <c r="F7" s="18" t="s">
        <v>118</v>
      </c>
      <c r="G7" s="18" t="s">
        <v>119</v>
      </c>
      <c r="H7" s="18" t="s">
        <v>120</v>
      </c>
      <c r="I7" s="18" t="s">
        <v>121</v>
      </c>
      <c r="J7" s="18" t="s">
        <v>122</v>
      </c>
      <c r="K7" s="18" t="s">
        <v>123</v>
      </c>
      <c r="L7" s="18" t="s">
        <v>124</v>
      </c>
      <c r="M7" s="18" t="s">
        <v>125</v>
      </c>
      <c r="N7" s="15"/>
      <c r="O7" s="15"/>
      <c r="P7" s="15"/>
      <c r="Q7" s="15"/>
      <c r="R7" s="15"/>
      <c r="S7" s="15"/>
      <c r="T7" s="15"/>
      <c r="U7" s="15"/>
      <c r="V7" s="15"/>
      <c r="W7" s="15"/>
    </row>
    <row r="8" ht="12.75" customHeight="1" spans="1:23" x14ac:dyDescent="0.25">
      <c r="A8" s="18" t="s">
        <v>126</v>
      </c>
      <c r="B8" s="19">
        <v>0.006</v>
      </c>
      <c r="C8" s="19">
        <v>0.004</v>
      </c>
      <c r="D8" s="19">
        <v>0.004</v>
      </c>
      <c r="E8" s="19">
        <v>0.004</v>
      </c>
      <c r="F8" s="19">
        <v>0.004</v>
      </c>
      <c r="G8" s="19">
        <v>0.006</v>
      </c>
      <c r="H8" s="19">
        <v>0.006</v>
      </c>
      <c r="I8" s="19">
        <v>0.008</v>
      </c>
      <c r="J8" s="19">
        <v>0.012</v>
      </c>
      <c r="K8" s="19">
        <v>0.018</v>
      </c>
      <c r="L8" s="19">
        <v>0.022</v>
      </c>
      <c r="M8" s="19">
        <v>0.02</v>
      </c>
      <c r="N8" s="15"/>
      <c r="O8" s="15"/>
      <c r="P8" s="15"/>
      <c r="Q8" s="15"/>
      <c r="R8" s="15"/>
      <c r="S8" s="15"/>
      <c r="T8" s="15"/>
      <c r="U8" s="15"/>
      <c r="V8" s="15"/>
      <c r="W8" s="15"/>
    </row>
    <row r="9" ht="12.75" customHeight="1" spans="1:23" x14ac:dyDescent="0.25">
      <c r="A9" s="18" t="s">
        <v>127</v>
      </c>
      <c r="B9" s="19">
        <v>0.02</v>
      </c>
      <c r="C9" s="19">
        <v>0.02</v>
      </c>
      <c r="D9" s="19">
        <v>0.018</v>
      </c>
      <c r="E9" s="19">
        <v>0.022</v>
      </c>
      <c r="F9" s="19">
        <v>0.022</v>
      </c>
      <c r="G9" s="19">
        <v>0.026</v>
      </c>
      <c r="H9" s="19">
        <v>0.028</v>
      </c>
      <c r="I9" s="19">
        <v>0.028</v>
      </c>
      <c r="J9" s="19">
        <v>0.03</v>
      </c>
      <c r="K9" s="19">
        <v>0.032</v>
      </c>
      <c r="L9" s="19">
        <v>0.032</v>
      </c>
      <c r="M9" s="19">
        <v>0.034</v>
      </c>
      <c r="N9" s="15"/>
      <c r="O9" s="15"/>
      <c r="P9" s="15"/>
      <c r="Q9" s="15"/>
      <c r="R9" s="15"/>
      <c r="S9" s="15"/>
      <c r="T9" s="15"/>
      <c r="U9" s="15"/>
      <c r="V9" s="15"/>
      <c r="W9" s="15"/>
    </row>
    <row r="10" ht="12.75" customHeight="1" spans="1:23" x14ac:dyDescent="0.25">
      <c r="A10" s="18" t="s">
        <v>128</v>
      </c>
      <c r="B10" s="19">
        <v>0.036</v>
      </c>
      <c r="C10" s="19">
        <v>0.036</v>
      </c>
      <c r="D10" s="19">
        <v>0.034</v>
      </c>
      <c r="E10" s="19">
        <v>0.034</v>
      </c>
      <c r="F10" s="19">
        <v>0.034</v>
      </c>
      <c r="G10" s="19">
        <v>0.034</v>
      </c>
      <c r="H10" s="19">
        <v>0.034</v>
      </c>
      <c r="I10" s="19">
        <v>0.032</v>
      </c>
      <c r="J10" s="19">
        <v>0.032</v>
      </c>
      <c r="K10" s="19">
        <v>0.03</v>
      </c>
      <c r="L10" s="19">
        <v>0.028</v>
      </c>
      <c r="M10" s="19">
        <v>0.026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ht="12.75" customHeight="1" spans="1:23" x14ac:dyDescent="0.25">
      <c r="A11" s="18" t="s">
        <v>129</v>
      </c>
      <c r="B11" s="19">
        <v>0.026</v>
      </c>
      <c r="C11" s="19">
        <v>0.024</v>
      </c>
      <c r="D11" s="19">
        <v>0.022</v>
      </c>
      <c r="E11" s="19">
        <v>0.024</v>
      </c>
      <c r="F11" s="19">
        <v>0.024</v>
      </c>
      <c r="G11" s="19">
        <v>0.022</v>
      </c>
      <c r="H11" s="19">
        <v>0.024</v>
      </c>
      <c r="I11" s="19">
        <v>0.024</v>
      </c>
      <c r="J11" s="19">
        <v>0.026</v>
      </c>
      <c r="K11" s="19">
        <v>0.024</v>
      </c>
      <c r="L11" s="19">
        <v>0.026</v>
      </c>
      <c r="M11" s="19">
        <v>0.024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ht="12.75" customHeight="1" spans="1:23" x14ac:dyDescent="0.25">
      <c r="A12" s="18" t="s">
        <v>130</v>
      </c>
      <c r="B12" s="19">
        <v>0.018</v>
      </c>
      <c r="C12" s="19">
        <v>0.016</v>
      </c>
      <c r="D12" s="19">
        <v>0.016</v>
      </c>
      <c r="E12" s="19">
        <v>0.014</v>
      </c>
      <c r="F12" s="19">
        <v>0.014</v>
      </c>
      <c r="G12" s="19">
        <v>0.018</v>
      </c>
      <c r="H12" s="19">
        <v>0.018</v>
      </c>
      <c r="I12" s="19">
        <v>0.018</v>
      </c>
      <c r="J12" s="19">
        <v>0.018</v>
      </c>
      <c r="K12" s="19">
        <v>0.018</v>
      </c>
      <c r="L12" s="19">
        <v>0.022</v>
      </c>
      <c r="M12" s="19">
        <v>0.022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ht="12.75" customHeight="1" spans="1:23" x14ac:dyDescent="0.25">
      <c r="A13" s="18" t="s">
        <v>131</v>
      </c>
      <c r="B13" s="19">
        <v>0.02</v>
      </c>
      <c r="C13" s="19">
        <v>0.02</v>
      </c>
      <c r="D13" s="19">
        <v>0.02</v>
      </c>
      <c r="E13" s="19">
        <v>0.022</v>
      </c>
      <c r="F13" s="19">
        <v>0.022</v>
      </c>
      <c r="G13" s="19">
        <v>0.022</v>
      </c>
      <c r="H13" s="19">
        <v>0.02</v>
      </c>
      <c r="I13" s="19">
        <v>0.018</v>
      </c>
      <c r="J13" s="19">
        <v>0.02</v>
      </c>
      <c r="K13" s="19">
        <v>0.018</v>
      </c>
      <c r="L13" s="19">
        <v>0.02</v>
      </c>
      <c r="M13" s="19">
        <v>0.022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ht="12.75" customHeight="1" spans="1:23" x14ac:dyDescent="0.25">
      <c r="A14" s="18" t="s">
        <v>132</v>
      </c>
      <c r="B14" s="19">
        <v>0.02</v>
      </c>
      <c r="C14" s="19">
        <v>0.022</v>
      </c>
      <c r="D14" s="19">
        <v>0.0222</v>
      </c>
      <c r="E14" s="19">
        <v>0.022</v>
      </c>
      <c r="F14" s="19">
        <v>0.022</v>
      </c>
      <c r="G14" s="19">
        <v>0.022</v>
      </c>
      <c r="H14" s="19">
        <v>0.022</v>
      </c>
      <c r="I14" s="19">
        <v>0.024</v>
      </c>
      <c r="J14" s="19">
        <v>0.022</v>
      </c>
      <c r="K14" s="19">
        <v>0.022</v>
      </c>
      <c r="L14" s="19">
        <v>0.022</v>
      </c>
      <c r="M14" s="19">
        <v>0.022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ht="12.75" customHeight="1" spans="1:23" x14ac:dyDescent="0.25">
      <c r="A15" s="18" t="s">
        <v>133</v>
      </c>
      <c r="B15" s="19">
        <v>0.02</v>
      </c>
      <c r="C15" s="19">
        <v>0.02</v>
      </c>
      <c r="D15" s="19">
        <v>0.024</v>
      </c>
      <c r="E15" s="19">
        <v>0.02</v>
      </c>
      <c r="F15" s="19">
        <v>0.02</v>
      </c>
      <c r="G15" s="19">
        <v>0.014</v>
      </c>
      <c r="H15" s="19">
        <v>0.012</v>
      </c>
      <c r="I15" s="19">
        <v>0.012</v>
      </c>
      <c r="J15" s="19">
        <v>0.014</v>
      </c>
      <c r="K15" s="19">
        <v>0.014</v>
      </c>
      <c r="L15" s="19">
        <v>0.012</v>
      </c>
      <c r="M15" s="19">
        <v>0.01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ht="12.75" customHeight="1" spans="1:23" x14ac:dyDescent="0.25">
      <c r="A16" s="18" t="s">
        <v>134</v>
      </c>
      <c r="B16" s="19">
        <v>0.012</v>
      </c>
      <c r="C16" s="19">
        <v>0.01</v>
      </c>
      <c r="D16" s="19">
        <v>0.012</v>
      </c>
      <c r="E16" s="19">
        <v>0.01</v>
      </c>
      <c r="F16" s="19">
        <v>0.01</v>
      </c>
      <c r="G16" s="19">
        <v>0.012</v>
      </c>
      <c r="H16" s="19">
        <v>0.012</v>
      </c>
      <c r="I16" s="19">
        <v>0.016</v>
      </c>
      <c r="J16" s="19">
        <v>0.014</v>
      </c>
      <c r="K16" s="19">
        <v>0.014</v>
      </c>
      <c r="L16" s="19">
        <v>0.014</v>
      </c>
      <c r="M16" s="19">
        <v>0.014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ht="12.75" customHeight="1" spans="1:23" x14ac:dyDescent="0.25">
      <c r="A17" s="18" t="s">
        <v>135</v>
      </c>
      <c r="B17" s="19">
        <v>0.016</v>
      </c>
      <c r="C17" s="19">
        <v>0.014</v>
      </c>
      <c r="D17" s="19">
        <v>0.014</v>
      </c>
      <c r="E17" s="19">
        <v>0.02</v>
      </c>
      <c r="F17" s="19">
        <v>0.022</v>
      </c>
      <c r="G17" s="19">
        <v>0.024</v>
      </c>
      <c r="H17" s="19">
        <v>0.028</v>
      </c>
      <c r="I17" s="19">
        <v>0.03</v>
      </c>
      <c r="J17" s="19">
        <v>0.03</v>
      </c>
      <c r="K17" s="19">
        <v>0.03</v>
      </c>
      <c r="L17" s="19">
        <v>0.028</v>
      </c>
      <c r="M17" s="19">
        <v>0.024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ht="12.75" customHeight="1" spans="1:23" x14ac:dyDescent="0.25">
      <c r="A18" s="18" t="s">
        <v>136</v>
      </c>
      <c r="B18" s="19">
        <v>0.018</v>
      </c>
      <c r="C18" s="19">
        <v>0.02</v>
      </c>
      <c r="D18" s="19">
        <v>0.02</v>
      </c>
      <c r="E18" s="19">
        <v>0.024</v>
      </c>
      <c r="F18" s="19">
        <v>0.026</v>
      </c>
      <c r="G18" s="19">
        <v>0.028</v>
      </c>
      <c r="H18" s="19">
        <v>0.032</v>
      </c>
      <c r="I18" s="19">
        <v>0.034</v>
      </c>
      <c r="J18" s="19">
        <v>0.032</v>
      </c>
      <c r="K18" s="19">
        <v>0.032</v>
      </c>
      <c r="L18" s="19">
        <v>0.034</v>
      </c>
      <c r="M18" s="19">
        <v>0.03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ht="12.75" customHeight="1" spans="1:23" x14ac:dyDescent="0.25">
      <c r="A19" s="18" t="s">
        <v>137</v>
      </c>
      <c r="B19" s="19">
        <v>0.032</v>
      </c>
      <c r="C19" s="19">
        <v>0.032</v>
      </c>
      <c r="D19" s="19">
        <v>0.032</v>
      </c>
      <c r="E19" s="19">
        <v>0.034</v>
      </c>
      <c r="F19" s="19">
        <v>0.034</v>
      </c>
      <c r="G19" s="19">
        <v>0.034</v>
      </c>
      <c r="H19" s="19">
        <v>0.028</v>
      </c>
      <c r="I19" s="19">
        <v>0.024</v>
      </c>
      <c r="J19" s="19">
        <v>0.026</v>
      </c>
      <c r="K19" s="19">
        <v>0.024</v>
      </c>
      <c r="L19" s="19">
        <v>0.02</v>
      </c>
      <c r="M19" s="19">
        <v>0.024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ht="12.75" customHeight="1" spans="1:23" x14ac:dyDescent="0.25">
      <c r="A20" s="18" t="s">
        <v>138</v>
      </c>
      <c r="B20" s="19">
        <v>0.034</v>
      </c>
      <c r="C20" s="19">
        <v>0.036</v>
      </c>
      <c r="D20" s="19">
        <v>0.038</v>
      </c>
      <c r="E20" s="19">
        <v>0.042</v>
      </c>
      <c r="F20" s="19">
        <v>0.042</v>
      </c>
      <c r="G20" s="19">
        <v>0.042</v>
      </c>
      <c r="H20" s="19">
        <v>0.038</v>
      </c>
      <c r="I20" s="19">
        <v>0.032</v>
      </c>
      <c r="J20" s="19">
        <v>0.034</v>
      </c>
      <c r="K20" s="19">
        <v>0.036</v>
      </c>
      <c r="L20" s="19">
        <v>0.042</v>
      </c>
      <c r="M20" s="19">
        <v>0.044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2.75" customHeight="1" spans="1:23" x14ac:dyDescent="0.25">
      <c r="A21" s="18" t="s">
        <v>139</v>
      </c>
      <c r="B21" s="19">
        <v>0.05</v>
      </c>
      <c r="C21" s="19">
        <v>0.052</v>
      </c>
      <c r="D21" s="19">
        <v>0.052</v>
      </c>
      <c r="E21" s="19">
        <v>0.058</v>
      </c>
      <c r="F21" s="19">
        <v>0.062</v>
      </c>
      <c r="G21" s="19">
        <v>0.06</v>
      </c>
      <c r="H21" s="19">
        <v>0.056</v>
      </c>
      <c r="I21" s="19">
        <v>0.056</v>
      </c>
      <c r="J21" s="19">
        <v>0.056</v>
      </c>
      <c r="K21" s="19">
        <v>0.058</v>
      </c>
      <c r="L21" s="19">
        <v>0.056</v>
      </c>
      <c r="M21" s="19">
        <v>0.056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2.75" customHeight="1" spans="1:23" x14ac:dyDescent="0.25">
      <c r="A22" s="18" t="s">
        <v>140</v>
      </c>
      <c r="B22" s="19">
        <v>0.058</v>
      </c>
      <c r="C22" s="19">
        <v>0.056</v>
      </c>
      <c r="D22" s="19">
        <v>0.058</v>
      </c>
      <c r="E22" s="19">
        <v>0.06</v>
      </c>
      <c r="F22" s="19">
        <v>0.062</v>
      </c>
      <c r="G22" s="19">
        <v>0.06</v>
      </c>
      <c r="H22" s="19">
        <v>0.06</v>
      </c>
      <c r="I22" s="19">
        <v>0.058</v>
      </c>
      <c r="J22" s="19">
        <v>0.056</v>
      </c>
      <c r="K22" s="19">
        <v>0.054</v>
      </c>
      <c r="L22" s="19">
        <v>0.052</v>
      </c>
      <c r="M22" s="19">
        <v>0.054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2.75" customHeight="1" spans="1:23" x14ac:dyDescent="0.25">
      <c r="A23" s="18" t="s">
        <v>141</v>
      </c>
      <c r="B23" s="19">
        <v>0.054</v>
      </c>
      <c r="C23" s="19">
        <v>0.05</v>
      </c>
      <c r="D23" s="19">
        <v>0.05</v>
      </c>
      <c r="E23" s="19">
        <v>0.05</v>
      </c>
      <c r="F23" s="19">
        <v>0.048</v>
      </c>
      <c r="G23" s="19">
        <v>0.046</v>
      </c>
      <c r="H23" s="19">
        <v>0.048</v>
      </c>
      <c r="I23" s="19">
        <v>0.052</v>
      </c>
      <c r="J23" s="19">
        <v>0.05</v>
      </c>
      <c r="K23" s="19">
        <v>0.046</v>
      </c>
      <c r="L23" s="19">
        <v>0.046</v>
      </c>
      <c r="M23" s="19">
        <v>0.046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2.75" customHeight="1" spans="1:23" x14ac:dyDescent="0.25">
      <c r="A24" s="18" t="s">
        <v>142</v>
      </c>
      <c r="B24" s="19">
        <v>0.042</v>
      </c>
      <c r="C24" s="19">
        <v>0.042</v>
      </c>
      <c r="D24" s="19">
        <v>0.044</v>
      </c>
      <c r="E24" s="19">
        <v>0.048</v>
      </c>
      <c r="F24" s="19">
        <v>0.046</v>
      </c>
      <c r="G24" s="19">
        <v>0.05</v>
      </c>
      <c r="H24" s="19">
        <v>0.046</v>
      </c>
      <c r="I24" s="19">
        <v>0.038</v>
      </c>
      <c r="J24" s="19">
        <v>0.038</v>
      </c>
      <c r="K24" s="19">
        <v>0.04</v>
      </c>
      <c r="L24" s="19">
        <v>0.042</v>
      </c>
      <c r="M24" s="19">
        <v>0.042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2.75" customHeight="1" spans="1:23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2.75" customHeight="1" spans="1:23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2.75" customHeight="1" spans="1:23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2.75" customHeight="1" spans="1:23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2.75" customHeight="1" spans="1:23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2.75" customHeight="1" spans="1:23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2.75" customHeight="1" spans="1:23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2.75" customHeight="1" spans="1:23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2.75" customHeight="1" spans="1:23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2.75" customHeight="1" spans="1:23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2.75" customHeight="1" spans="1:23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2.75" customHeight="1" spans="1:23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2.75" customHeight="1" spans="1:23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2.75" customHeight="1" spans="1:23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2.75" customHeight="1" spans="1:23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2.75" customHeight="1" spans="1:23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2.75" customHeight="1" spans="1:23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2.75" customHeight="1" spans="1:23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2.75" customHeight="1" spans="1:23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2.75" customHeight="1" spans="1:23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2.75" customHeight="1" spans="1:23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2.75" customHeight="1" spans="1:23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2.75" customHeight="1" spans="1:23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2.75" customHeight="1" spans="1:23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2.75" customHeight="1" spans="1:23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2.75" customHeight="1" spans="1:23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2.75" customHeight="1" spans="1:23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2.75" customHeight="1" spans="1:23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2.75" customHeight="1" spans="1:23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2.75" customHeight="1" spans="1:23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2.75" customHeight="1" spans="1:23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2.75" customHeight="1" spans="1:23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2.75" customHeight="1" spans="1:23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2.75" customHeight="1" spans="1:23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2.75" customHeight="1" spans="1:23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2.75" customHeight="1" spans="1:23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2.75" customHeight="1" spans="1:23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2.75" customHeight="1" spans="1:23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2.75" customHeight="1" spans="1:23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2.75" customHeight="1" spans="1:23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2.75" customHeight="1" spans="1:23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2.75" customHeight="1" spans="1:23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2.75" customHeight="1" spans="1:23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2.75" customHeight="1" spans="1:23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2.75" customHeight="1" spans="1:23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2.75" customHeight="1" spans="1:23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2.75" customHeight="1" spans="1:23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2.75" customHeight="1" spans="1:23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2.75" customHeight="1" spans="1:23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2.75" customHeight="1" spans="1:23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2.75" customHeight="1" spans="1:23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2.75" customHeight="1" spans="1:23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2.75" customHeight="1" spans="1:23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2.75" customHeight="1" spans="1:23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2.75" customHeight="1" spans="1:23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2.75" customHeight="1" spans="1:23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2.75" customHeight="1" spans="1:23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2.75" customHeight="1" spans="1:23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2.75" customHeight="1" spans="1:23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2.75" customHeight="1" spans="1:23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2.75" customHeight="1" spans="1:23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2.75" customHeight="1" spans="1:23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2.75" customHeight="1" spans="1:23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2.75" customHeight="1" spans="1:23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2.75" customHeight="1" spans="1:23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2.75" customHeight="1" spans="1:23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2.75" customHeight="1" spans="1:23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2.75" customHeight="1" spans="1:23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2.75" customHeight="1" spans="1:23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2.75" customHeight="1" spans="1:23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2.75" customHeight="1" spans="1:23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2.75" customHeight="1" spans="1:23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2.75" customHeight="1" spans="1:23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2.75" customHeight="1" spans="1:23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2.75" customHeight="1" spans="1:23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2.75" customHeight="1" spans="1:23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2.75" customHeight="1" spans="1:23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2.75" customHeight="1" spans="1:23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2.75" customHeight="1" spans="1:23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2.75" customHeight="1" spans="1:23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2.75" customHeight="1" spans="1:23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2.75" customHeight="1" spans="1:23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2.75" customHeight="1" spans="1:23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2.75" customHeight="1" spans="1:23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2.75" customHeight="1" spans="1:23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"/>
  <sheetViews>
    <sheetView workbookViewId="0" zoomScale="90" zoomScaleNormal="90" view="normal">
      <selection activeCell="C35" sqref="C35"/>
    </sheetView>
  </sheetViews>
  <sheetFormatPr defaultRowHeight="12.75" outlineLevelRow="0" outlineLevelCol="0" x14ac:dyDescent="0" defaultColWidth="8.83203125" customHeight="1"/>
  <cols>
    <col min="1" max="1" width="12.67" customWidth="1"/>
    <col min="2" max="13" width="13.34" customWidth="1"/>
    <col min="14" max="15" width="12.67" customWidth="1"/>
    <col min="16" max="16" width="12.83" customWidth="1"/>
    <col min="17" max="18" width="12.67" customWidth="1"/>
  </cols>
  <sheetData>
    <row r="1" ht="18" customHeight="1" spans="1:1" x14ac:dyDescent="0.25">
      <c r="A1" s="14" t="s">
        <v>143</v>
      </c>
    </row>
    <row r="2" ht="12.75" customHeight="1" spans="1:1" x14ac:dyDescent="0.25">
      <c r="A2" s="20" t="s">
        <v>144</v>
      </c>
    </row>
    <row r="3" ht="12.75" customHeight="1" spans="1:1" x14ac:dyDescent="0.25">
      <c r="A3" s="20" t="s">
        <v>145</v>
      </c>
    </row>
    <row r="4" ht="12.75" customHeight="1" spans="1:1" x14ac:dyDescent="0.25">
      <c r="A4" s="21" t="s">
        <v>146</v>
      </c>
    </row>
    <row r="5" ht="24.75" customHeight="1" spans="1:3" x14ac:dyDescent="0.25">
      <c r="A5" s="22" t="s">
        <v>147</v>
      </c>
      <c r="C5" s="23"/>
    </row>
    <row r="6" ht="30" customHeight="1" spans="1:4" x14ac:dyDescent="0.25">
      <c r="A6" s="24" t="s">
        <v>6</v>
      </c>
      <c r="B6" s="25" t="s">
        <v>148</v>
      </c>
      <c r="C6" s="26" t="s">
        <v>149</v>
      </c>
      <c r="D6" s="26" t="s">
        <v>9</v>
      </c>
    </row>
    <row r="7" ht="13.5" customHeight="1" spans="1:4" x14ac:dyDescent="0.25">
      <c r="A7" s="27">
        <f>A8+1</f>
        <v>2022</v>
      </c>
      <c r="B7" s="28">
        <v>0.062</v>
      </c>
      <c r="C7" s="29">
        <v>147000</v>
      </c>
      <c r="D7" s="30">
        <v>0.0145</v>
      </c>
    </row>
    <row r="8" ht="12.75" customHeight="1" spans="1:4" x14ac:dyDescent="0.25">
      <c r="A8" s="18">
        <f>A9+1</f>
        <v>2021</v>
      </c>
      <c r="B8" s="31">
        <v>0.062</v>
      </c>
      <c r="C8" s="32">
        <v>142800</v>
      </c>
      <c r="D8" s="33">
        <v>0.0145</v>
      </c>
    </row>
    <row r="9" ht="12.75" customHeight="1" spans="1:4" x14ac:dyDescent="0.25">
      <c r="A9" s="18">
        <f>A10+1</f>
        <v>2020</v>
      </c>
      <c r="B9" s="31">
        <v>0.062</v>
      </c>
      <c r="C9" s="32">
        <v>137700</v>
      </c>
      <c r="D9" s="33">
        <v>0.0145</v>
      </c>
    </row>
    <row r="10" ht="12.75" customHeight="1" spans="1:4" x14ac:dyDescent="0.25">
      <c r="A10" s="18">
        <f>A11+1</f>
        <v>2019</v>
      </c>
      <c r="B10" s="31">
        <v>0.062</v>
      </c>
      <c r="C10" s="32">
        <v>132900</v>
      </c>
      <c r="D10" s="33">
        <v>0.0145</v>
      </c>
    </row>
    <row r="11" ht="12.75" customHeight="1" spans="1:4" x14ac:dyDescent="0.25">
      <c r="A11" s="18">
        <f>A12+1</f>
        <v>2018</v>
      </c>
      <c r="B11" s="31">
        <v>0.062</v>
      </c>
      <c r="C11" s="32">
        <v>130500</v>
      </c>
      <c r="D11" s="33">
        <v>0.0145</v>
      </c>
    </row>
    <row r="12" ht="12.75" customHeight="1" spans="1:4" x14ac:dyDescent="0.25">
      <c r="A12" s="18">
        <f>A13+1</f>
        <v>2017</v>
      </c>
      <c r="B12" s="31">
        <v>0.062</v>
      </c>
      <c r="C12" s="32">
        <v>127200</v>
      </c>
      <c r="D12" s="33">
        <v>0.0145</v>
      </c>
    </row>
    <row r="13" ht="12.75" customHeight="1" spans="1:5" x14ac:dyDescent="0.25">
      <c r="A13" s="18">
        <f>A14+1</f>
        <v>2016</v>
      </c>
      <c r="B13" s="31">
        <v>0.062</v>
      </c>
      <c r="C13" s="32">
        <v>118500</v>
      </c>
      <c r="D13" s="33">
        <v>0.0145</v>
      </c>
      <c r="E13" s="34" t="s">
        <v>150</v>
      </c>
    </row>
    <row r="14" ht="12.75" customHeight="1" spans="1:4" x14ac:dyDescent="0.25">
      <c r="A14" s="18">
        <f>A15+1</f>
        <v>2015</v>
      </c>
      <c r="B14" s="31">
        <v>0.062</v>
      </c>
      <c r="C14" s="32">
        <v>118500</v>
      </c>
      <c r="D14" s="33">
        <v>0.0145</v>
      </c>
    </row>
    <row r="15" ht="12.75" customHeight="1" spans="1:4" x14ac:dyDescent="0.25">
      <c r="A15" s="18">
        <f>A16+1</f>
        <v>2014</v>
      </c>
      <c r="B15" s="31">
        <v>0.062</v>
      </c>
      <c r="C15" s="32">
        <v>117000</v>
      </c>
      <c r="D15" s="33">
        <v>0.0145</v>
      </c>
    </row>
    <row r="16" ht="12.75" customHeight="1" spans="1:5" x14ac:dyDescent="0.25">
      <c r="A16" s="18">
        <f>A17+1</f>
        <v>2013</v>
      </c>
      <c r="B16" s="31">
        <v>0.062</v>
      </c>
      <c r="C16" s="32">
        <v>113700</v>
      </c>
      <c r="D16" s="33">
        <v>0.0145</v>
      </c>
      <c r="E16" s="35" t="s">
        <v>151</v>
      </c>
    </row>
    <row r="17" ht="12.75" customHeight="1" spans="1:5" x14ac:dyDescent="0.25">
      <c r="A17" s="18">
        <f>A18+1</f>
        <v>2012</v>
      </c>
      <c r="B17" s="31">
        <v>0.042</v>
      </c>
      <c r="C17" s="32">
        <v>110100</v>
      </c>
      <c r="D17" s="33">
        <v>0.0145</v>
      </c>
      <c r="E17" s="35" t="s">
        <v>152</v>
      </c>
    </row>
    <row r="18" ht="12.75" customHeight="1" spans="1:5" x14ac:dyDescent="0.25">
      <c r="A18" s="18">
        <f>A19+1</f>
        <v>2011</v>
      </c>
      <c r="B18" s="31">
        <v>0.042</v>
      </c>
      <c r="C18" s="32">
        <v>106800</v>
      </c>
      <c r="D18" s="33">
        <v>0.0145</v>
      </c>
      <c r="E18" s="35" t="s">
        <v>153</v>
      </c>
    </row>
    <row r="19" ht="12.75" customHeight="1" spans="1:4" x14ac:dyDescent="0.25">
      <c r="A19" s="18">
        <f>A20+1</f>
        <v>2010</v>
      </c>
      <c r="B19" s="31">
        <v>0.062</v>
      </c>
      <c r="C19" s="32">
        <v>106800</v>
      </c>
      <c r="D19" s="33">
        <v>0.0145</v>
      </c>
    </row>
    <row r="20" ht="12.75" customHeight="1" spans="1:4" x14ac:dyDescent="0.25">
      <c r="A20" s="18">
        <f>A21+1</f>
        <v>2009</v>
      </c>
      <c r="B20" s="31">
        <v>0.062</v>
      </c>
      <c r="C20" s="32">
        <v>106800</v>
      </c>
      <c r="D20" s="33">
        <v>0.0145</v>
      </c>
    </row>
    <row r="21" ht="12.75" customHeight="1" spans="1:4" x14ac:dyDescent="0.25">
      <c r="A21" s="18">
        <f>A22+1</f>
        <v>2008</v>
      </c>
      <c r="B21" s="36">
        <v>0.062</v>
      </c>
      <c r="C21" s="37">
        <v>102000</v>
      </c>
      <c r="D21" s="38">
        <v>0.0145</v>
      </c>
    </row>
    <row r="22" ht="12.75" customHeight="1" spans="1:4" x14ac:dyDescent="0.25">
      <c r="A22" s="18">
        <f>A23+1</f>
        <v>2007</v>
      </c>
      <c r="B22" s="36">
        <v>0.062</v>
      </c>
      <c r="C22" s="37">
        <v>97500</v>
      </c>
      <c r="D22" s="38">
        <v>0.0145</v>
      </c>
    </row>
    <row r="23" ht="12.75" customHeight="1" spans="1:4" x14ac:dyDescent="0.25">
      <c r="A23" s="18">
        <f>A24+1</f>
        <v>2006</v>
      </c>
      <c r="B23" s="36">
        <v>0.062</v>
      </c>
      <c r="C23" s="37">
        <v>94200</v>
      </c>
      <c r="D23" s="38">
        <v>0.0145</v>
      </c>
    </row>
    <row r="24" ht="12.75" customHeight="1" spans="1:4" x14ac:dyDescent="0.25">
      <c r="A24" s="18">
        <f>A25+1</f>
        <v>2005</v>
      </c>
      <c r="B24" s="36">
        <v>0.062</v>
      </c>
      <c r="C24" s="37">
        <v>90000</v>
      </c>
      <c r="D24" s="38">
        <v>0.0145</v>
      </c>
    </row>
    <row r="25" ht="12.75" customHeight="1" spans="1:4" x14ac:dyDescent="0.25">
      <c r="A25" s="18">
        <f>A26+1</f>
        <v>2004</v>
      </c>
      <c r="B25" s="36">
        <v>0.062</v>
      </c>
      <c r="C25" s="37">
        <v>87900</v>
      </c>
      <c r="D25" s="38">
        <v>0.0145</v>
      </c>
    </row>
    <row r="26" ht="12.75" customHeight="1" spans="1:4" x14ac:dyDescent="0.25">
      <c r="A26" s="18">
        <f>A27+1</f>
        <v>2003</v>
      </c>
      <c r="B26" s="36">
        <v>0.062</v>
      </c>
      <c r="C26" s="37">
        <v>87000</v>
      </c>
      <c r="D26" s="38">
        <v>0.0145</v>
      </c>
    </row>
    <row r="27" ht="12.75" customHeight="1" spans="1:4" x14ac:dyDescent="0.25">
      <c r="A27" s="18">
        <f>A28+1</f>
        <v>2002</v>
      </c>
      <c r="B27" s="36">
        <v>0.062</v>
      </c>
      <c r="C27" s="37">
        <v>84900</v>
      </c>
      <c r="D27" s="38">
        <v>0.0145</v>
      </c>
    </row>
    <row r="28" ht="12.75" customHeight="1" spans="1:4" x14ac:dyDescent="0.25">
      <c r="A28" s="18">
        <f>A29+1</f>
        <v>2001</v>
      </c>
      <c r="B28" s="36">
        <v>0.062</v>
      </c>
      <c r="C28" s="37">
        <v>80400</v>
      </c>
      <c r="D28" s="38">
        <v>0.0145</v>
      </c>
    </row>
    <row r="29" ht="12.75" customHeight="1" spans="1:4" x14ac:dyDescent="0.25">
      <c r="A29" s="18">
        <v>2000</v>
      </c>
      <c r="B29" s="36">
        <v>0.062</v>
      </c>
      <c r="C29" s="37">
        <v>76200</v>
      </c>
      <c r="D29" s="38">
        <v>0.0145</v>
      </c>
    </row>
    <row r="30" ht="12.75" customHeight="1" spans="1:4" x14ac:dyDescent="0.25">
      <c r="A30" s="18"/>
      <c r="B30" s="38"/>
      <c r="C30" s="37"/>
      <c r="D30" s="38"/>
    </row>
    <row r="32" ht="24.75" customHeight="1" spans="1:8" x14ac:dyDescent="0.25">
      <c r="A32" s="22" t="s">
        <v>154</v>
      </c>
      <c r="H32" s="39" t="s">
        <v>155</v>
      </c>
    </row>
    <row r="33" ht="30" customHeight="1" spans="1:13" x14ac:dyDescent="0.25">
      <c r="A33" s="24" t="s">
        <v>6</v>
      </c>
      <c r="B33" s="40" t="s">
        <v>156</v>
      </c>
      <c r="C33" s="24" t="s">
        <v>36</v>
      </c>
      <c r="D33" s="24" t="s">
        <v>157</v>
      </c>
      <c r="E33" s="24" t="s">
        <v>37</v>
      </c>
      <c r="F33" s="24" t="s">
        <v>158</v>
      </c>
      <c r="H33" s="24" t="s">
        <v>6</v>
      </c>
      <c r="I33" s="40" t="s">
        <v>156</v>
      </c>
      <c r="J33" s="24" t="s">
        <v>36</v>
      </c>
      <c r="K33" s="24" t="s">
        <v>157</v>
      </c>
      <c r="L33" s="24" t="s">
        <v>37</v>
      </c>
      <c r="M33" s="24" t="s">
        <v>158</v>
      </c>
    </row>
    <row r="34" ht="13.5" customHeight="1" spans="1:13" x14ac:dyDescent="0.25">
      <c r="A34" s="27">
        <f>A35+1</f>
        <v>2022</v>
      </c>
      <c r="B34" s="41">
        <f>'Tax Value Calcs'!D21</f>
        <v>25800</v>
      </c>
      <c r="C34" s="42">
        <f>'Tax Value Calcs'!F21</f>
        <v>12900</v>
      </c>
      <c r="D34" s="43">
        <f>B34/C34</f>
        <v>2</v>
      </c>
      <c r="E34" s="42">
        <f>'Tax Value Calcs'!H21</f>
        <v>19400</v>
      </c>
      <c r="F34" s="42">
        <f>'Tax Value Calcs'!J21</f>
        <v>12900</v>
      </c>
      <c r="H34" s="27">
        <f>H35+1</f>
        <v>2022</v>
      </c>
      <c r="I34" s="41">
        <f>'Tax Value Calcs'!I33</f>
        <v>14000</v>
      </c>
      <c r="J34" s="42">
        <f>'Tax Value Calcs'!K33</f>
        <v>7000</v>
      </c>
      <c r="K34" s="43">
        <f>I34/J34</f>
        <v>2</v>
      </c>
      <c r="L34" s="42">
        <f>'Tax Value Calcs'!M33</f>
        <v>10250</v>
      </c>
      <c r="M34" s="42">
        <f>'Tax Value Calcs'!O33</f>
        <v>7000</v>
      </c>
    </row>
    <row r="35" ht="12.75" customHeight="1" spans="1:13" x14ac:dyDescent="0.25">
      <c r="A35" s="18">
        <f>A36+1</f>
        <v>2021</v>
      </c>
      <c r="B35" s="44">
        <f>'Tax Value Calcs'!D22</f>
        <v>25100</v>
      </c>
      <c r="C35" s="45">
        <f>'Tax Value Calcs'!F22</f>
        <v>12550</v>
      </c>
      <c r="D35" s="46">
        <f>B35/C35</f>
        <v>2</v>
      </c>
      <c r="E35" s="45">
        <f>'Tax Value Calcs'!H22</f>
        <v>18800</v>
      </c>
      <c r="F35" s="45">
        <f>'Tax Value Calcs'!J22</f>
        <v>12550</v>
      </c>
      <c r="H35" s="47">
        <f>H36+1</f>
        <v>2021</v>
      </c>
      <c r="I35" s="44">
        <f>'Tax Value Calcs'!I34</f>
        <v>13600</v>
      </c>
      <c r="J35" s="45">
        <f>'Tax Value Calcs'!K34</f>
        <v>6800</v>
      </c>
      <c r="K35" s="46">
        <f>I35/J35</f>
        <v>2</v>
      </c>
      <c r="L35" s="45">
        <f>'Tax Value Calcs'!M34</f>
        <v>9950</v>
      </c>
      <c r="M35" s="45">
        <f>'Tax Value Calcs'!O34</f>
        <v>6800</v>
      </c>
    </row>
    <row r="36" ht="12.75" customHeight="1" spans="1:13" x14ac:dyDescent="0.25">
      <c r="A36" s="18">
        <f>A37+1</f>
        <v>2020</v>
      </c>
      <c r="B36" s="44">
        <f>'Tax Value Calcs'!D23</f>
        <v>24800</v>
      </c>
      <c r="C36" s="45">
        <f>'Tax Value Calcs'!F23</f>
        <v>12400</v>
      </c>
      <c r="D36" s="46">
        <f>B36/C36</f>
        <v>2</v>
      </c>
      <c r="E36" s="45">
        <f>'Tax Value Calcs'!H23</f>
        <v>18600</v>
      </c>
      <c r="F36" s="45">
        <f>'Tax Value Calcs'!J23</f>
        <v>12400</v>
      </c>
      <c r="G36" s="16"/>
      <c r="H36" s="47">
        <f>H37+1</f>
        <v>2020</v>
      </c>
      <c r="I36" s="44">
        <f>'Tax Value Calcs'!I35</f>
        <v>13400</v>
      </c>
      <c r="J36" s="45">
        <f>'Tax Value Calcs'!K35</f>
        <v>6700</v>
      </c>
      <c r="K36" s="46">
        <f>I36/J36</f>
        <v>2</v>
      </c>
      <c r="L36" s="45">
        <f>'Tax Value Calcs'!M35</f>
        <v>9850</v>
      </c>
      <c r="M36" s="45">
        <f>'Tax Value Calcs'!O35</f>
        <v>6700</v>
      </c>
    </row>
    <row r="37" ht="12.75" customHeight="1" spans="1:13" x14ac:dyDescent="0.25">
      <c r="A37" s="18">
        <f>A38+1</f>
        <v>2019</v>
      </c>
      <c r="B37" s="44">
        <f>'Tax Value Calcs'!D24</f>
        <v>24400</v>
      </c>
      <c r="C37" s="45">
        <f>'Tax Value Calcs'!F24</f>
        <v>12200</v>
      </c>
      <c r="D37" s="46">
        <f>B37/C37</f>
        <v>2</v>
      </c>
      <c r="E37" s="45">
        <f>'Tax Value Calcs'!H24</f>
        <v>18350</v>
      </c>
      <c r="F37" s="45">
        <f>'Tax Value Calcs'!J24</f>
        <v>12200</v>
      </c>
      <c r="G37" s="16"/>
      <c r="H37" s="47">
        <f>H38+1</f>
        <v>2019</v>
      </c>
      <c r="I37" s="48">
        <f>'Tax Value Calcs'!I36</f>
        <v>13200</v>
      </c>
      <c r="J37" s="49">
        <f>'Tax Value Calcs'!K36</f>
        <v>6600</v>
      </c>
      <c r="K37" s="50">
        <f>I37/J37</f>
        <v>2</v>
      </c>
      <c r="L37" s="49">
        <f>'Tax Value Calcs'!M36</f>
        <v>9700</v>
      </c>
      <c r="M37" s="49">
        <f>'Tax Value Calcs'!O36</f>
        <v>6600</v>
      </c>
    </row>
    <row r="38" ht="12.75" customHeight="1" spans="1:13" x14ac:dyDescent="0.25">
      <c r="A38" s="18">
        <f>A39+1</f>
        <v>2018</v>
      </c>
      <c r="B38" s="44">
        <f>'Tax Value Calcs'!D25</f>
        <v>24000</v>
      </c>
      <c r="C38" s="45">
        <f>'Tax Value Calcs'!F25</f>
        <v>12000</v>
      </c>
      <c r="D38" s="46">
        <f>B38/C38</f>
        <v>2</v>
      </c>
      <c r="E38" s="45">
        <f>'Tax Value Calcs'!M37</f>
        <v>9500</v>
      </c>
      <c r="F38" s="45">
        <f>'Tax Value Calcs'!O37</f>
        <v>6450</v>
      </c>
      <c r="H38" s="47">
        <f>H39+1</f>
        <v>2018</v>
      </c>
      <c r="I38" s="48">
        <f>'Tax Value Calcs'!I37</f>
        <v>12900</v>
      </c>
      <c r="J38" s="49">
        <f>'Tax Value Calcs'!K37</f>
        <v>6450</v>
      </c>
      <c r="K38" s="50">
        <f>I38/J38</f>
        <v>2</v>
      </c>
      <c r="L38" s="49">
        <f>'Tax Value Calcs'!M37</f>
        <v>9500</v>
      </c>
      <c r="M38" s="49">
        <f>'Tax Value Calcs'!O37</f>
        <v>6450</v>
      </c>
    </row>
    <row r="39" ht="12.75" customHeight="1" spans="1:13" x14ac:dyDescent="0.25">
      <c r="A39" s="18">
        <f>A40+1</f>
        <v>2017</v>
      </c>
      <c r="B39" s="44">
        <f>'Tax Value Calcs'!I38</f>
        <v>12700</v>
      </c>
      <c r="C39" s="45">
        <f>'Tax Value Calcs'!K38</f>
        <v>6350</v>
      </c>
      <c r="D39" s="46">
        <f>B39/C39</f>
        <v>2</v>
      </c>
      <c r="E39" s="45">
        <f>'Tax Value Calcs'!M38</f>
        <v>9350</v>
      </c>
      <c r="F39" s="45">
        <f>'Tax Value Calcs'!O38</f>
        <v>6350</v>
      </c>
      <c r="H39" s="18">
        <v>2017</v>
      </c>
      <c r="I39" s="44">
        <f>'Tax Value Calcs'!I38</f>
        <v>12700</v>
      </c>
      <c r="J39" s="45">
        <f>'Tax Value Calcs'!K38</f>
        <v>6350</v>
      </c>
      <c r="K39" s="46">
        <f>I39/J39</f>
        <v>2</v>
      </c>
      <c r="L39" s="45">
        <f>'Tax Value Calcs'!M38</f>
        <v>9350</v>
      </c>
      <c r="M39" s="45">
        <f>'Tax Value Calcs'!O38</f>
        <v>6350</v>
      </c>
    </row>
    <row r="40" ht="12.75" customHeight="1" spans="1:13" x14ac:dyDescent="0.25">
      <c r="A40" s="18">
        <f>A41+1</f>
        <v>2016</v>
      </c>
      <c r="B40" s="44">
        <f>'Tax Value Calcs'!I39</f>
        <v>12600</v>
      </c>
      <c r="C40" s="45">
        <f>'Tax Value Calcs'!K39</f>
        <v>6300</v>
      </c>
      <c r="D40" s="46">
        <f>B40/C40</f>
        <v>2</v>
      </c>
      <c r="E40" s="45">
        <f>'Tax Value Calcs'!M39</f>
        <v>9300</v>
      </c>
      <c r="F40" s="45">
        <f>'Tax Value Calcs'!O39</f>
        <v>6300</v>
      </c>
      <c r="G40" s="15"/>
      <c r="H40" s="18"/>
      <c r="I40" s="45"/>
      <c r="J40" s="45"/>
      <c r="K40" s="46"/>
      <c r="L40" s="45"/>
      <c r="M40" s="45"/>
    </row>
    <row r="41" ht="12.75" customHeight="1" spans="1:13" x14ac:dyDescent="0.25">
      <c r="A41" s="18">
        <f>A42+1</f>
        <v>2015</v>
      </c>
      <c r="B41" s="44">
        <f>'Tax Value Calcs'!I40</f>
        <v>12600</v>
      </c>
      <c r="C41" s="45">
        <f>'Tax Value Calcs'!K40</f>
        <v>6300</v>
      </c>
      <c r="D41" s="46">
        <f>B41/C41</f>
        <v>2</v>
      </c>
      <c r="E41" s="45">
        <f>'Tax Value Calcs'!M40</f>
        <v>9250</v>
      </c>
      <c r="F41" s="45">
        <f>'Tax Value Calcs'!O40</f>
        <v>6300</v>
      </c>
      <c r="H41" s="18"/>
      <c r="I41" s="45"/>
      <c r="J41" s="45"/>
      <c r="K41" s="46"/>
      <c r="L41" s="45"/>
      <c r="M41" s="45"/>
    </row>
    <row r="42" ht="12.75" customHeight="1" spans="1:13" x14ac:dyDescent="0.25">
      <c r="A42" s="18">
        <f>A43+1</f>
        <v>2014</v>
      </c>
      <c r="B42" s="44">
        <f>'Tax Value Calcs'!I41</f>
        <v>12400</v>
      </c>
      <c r="C42" s="45">
        <f>'Tax Value Calcs'!K41</f>
        <v>6200</v>
      </c>
      <c r="D42" s="46">
        <f>B42/C42</f>
        <v>2</v>
      </c>
      <c r="E42" s="45">
        <f>'Tax Value Calcs'!M41</f>
        <v>9100</v>
      </c>
      <c r="F42" s="45">
        <f>'Tax Value Calcs'!O41</f>
        <v>6200</v>
      </c>
      <c r="H42" s="18"/>
      <c r="I42" s="45"/>
      <c r="J42" s="45"/>
      <c r="K42" s="46"/>
      <c r="L42" s="45"/>
      <c r="M42" s="45"/>
    </row>
    <row r="43" ht="12.75" customHeight="1" spans="1:13" x14ac:dyDescent="0.25">
      <c r="A43" s="18">
        <f>A44+1</f>
        <v>2013</v>
      </c>
      <c r="B43" s="44">
        <f>'Tax Value Calcs'!I42</f>
        <v>12200</v>
      </c>
      <c r="C43" s="45">
        <f>'Tax Value Calcs'!K42</f>
        <v>6100</v>
      </c>
      <c r="D43" s="46">
        <f>B43/C43</f>
        <v>2</v>
      </c>
      <c r="E43" s="45">
        <f>'Tax Value Calcs'!M42</f>
        <v>8950</v>
      </c>
      <c r="F43" s="45">
        <f>'Tax Value Calcs'!O42</f>
        <v>6100</v>
      </c>
      <c r="H43" s="18"/>
      <c r="I43" s="45"/>
      <c r="J43" s="45"/>
      <c r="K43" s="46"/>
      <c r="L43" s="45"/>
      <c r="M43" s="45"/>
    </row>
    <row r="44" ht="12.75" customHeight="1" spans="1:13" x14ac:dyDescent="0.25">
      <c r="A44" s="18">
        <f>A45+1</f>
        <v>2012</v>
      </c>
      <c r="B44" s="44">
        <f>'Tax Value Calcs'!I43</f>
        <v>11900</v>
      </c>
      <c r="C44" s="45">
        <f>'Tax Value Calcs'!K43</f>
        <v>5950</v>
      </c>
      <c r="D44" s="46">
        <f>B44/C44</f>
        <v>2</v>
      </c>
      <c r="E44" s="45">
        <f>'Tax Value Calcs'!M43</f>
        <v>8700</v>
      </c>
      <c r="F44" s="45">
        <f>'Tax Value Calcs'!O43</f>
        <v>5950</v>
      </c>
      <c r="H44" s="18"/>
      <c r="I44" s="45"/>
      <c r="J44" s="45"/>
      <c r="K44" s="46"/>
      <c r="L44" s="45"/>
      <c r="M44" s="45"/>
    </row>
    <row r="45" ht="12.75" customHeight="1" spans="1:13" x14ac:dyDescent="0.25">
      <c r="A45" s="18">
        <f>A46+1</f>
        <v>2011</v>
      </c>
      <c r="B45" s="44">
        <f>'Tax Value Calcs'!I44</f>
        <v>11600</v>
      </c>
      <c r="C45" s="45">
        <f>'Tax Value Calcs'!K44</f>
        <v>5800</v>
      </c>
      <c r="D45" s="46">
        <f>B45/C45</f>
        <v>2</v>
      </c>
      <c r="E45" s="45">
        <f>'Tax Value Calcs'!M44</f>
        <v>8500</v>
      </c>
      <c r="F45" s="45">
        <f>'Tax Value Calcs'!O44</f>
        <v>5800</v>
      </c>
      <c r="H45" s="18"/>
      <c r="I45" s="45"/>
      <c r="J45" s="45"/>
      <c r="K45" s="46"/>
      <c r="L45" s="45"/>
      <c r="M45" s="45"/>
    </row>
    <row r="46" ht="12.75" customHeight="1" spans="1:13" x14ac:dyDescent="0.25">
      <c r="A46" s="18">
        <f>A47+1</f>
        <v>2010</v>
      </c>
      <c r="B46" s="44">
        <f>'Tax Value Calcs'!I45</f>
        <v>11400</v>
      </c>
      <c r="C46" s="45">
        <f>'Tax Value Calcs'!K45</f>
        <v>5700</v>
      </c>
      <c r="D46" s="46">
        <f>B46/C46</f>
        <v>2</v>
      </c>
      <c r="E46" s="45">
        <f>'Tax Value Calcs'!M45</f>
        <v>8400</v>
      </c>
      <c r="F46" s="45">
        <f>'Tax Value Calcs'!O45</f>
        <v>5700</v>
      </c>
      <c r="H46" s="18"/>
      <c r="I46" s="45"/>
      <c r="J46" s="45"/>
      <c r="K46" s="46"/>
      <c r="L46" s="45"/>
      <c r="M46" s="45"/>
    </row>
    <row r="47" ht="12.75" customHeight="1" spans="1:13" x14ac:dyDescent="0.25">
      <c r="A47" s="18">
        <f>A48+1</f>
        <v>2009</v>
      </c>
      <c r="B47" s="44">
        <f>'Tax Value Calcs'!I46</f>
        <v>11400</v>
      </c>
      <c r="C47" s="45">
        <f>'Tax Value Calcs'!K46</f>
        <v>5700</v>
      </c>
      <c r="D47" s="46">
        <f>B47/C47</f>
        <v>2</v>
      </c>
      <c r="E47" s="45">
        <f>'Tax Value Calcs'!M46</f>
        <v>8350</v>
      </c>
      <c r="F47" s="45">
        <f>'Tax Value Calcs'!O46</f>
        <v>5700</v>
      </c>
      <c r="H47" s="18"/>
      <c r="I47" s="45"/>
      <c r="J47" s="45"/>
      <c r="K47" s="46"/>
      <c r="L47" s="45"/>
      <c r="M47" s="45"/>
    </row>
    <row r="48" ht="12.75" customHeight="1" spans="1:13" x14ac:dyDescent="0.25">
      <c r="A48" s="18">
        <f>A49+1</f>
        <v>2008</v>
      </c>
      <c r="B48" s="44">
        <f>'Tax Value Calcs'!I47</f>
        <v>10900</v>
      </c>
      <c r="C48" s="45">
        <f>'Tax Value Calcs'!K47</f>
        <v>5450</v>
      </c>
      <c r="D48" s="46">
        <f>B48/C48</f>
        <v>2</v>
      </c>
      <c r="E48" s="45">
        <f>'Tax Value Calcs'!M47</f>
        <v>8000</v>
      </c>
      <c r="F48" s="45">
        <f>'Tax Value Calcs'!O47</f>
        <v>5450</v>
      </c>
      <c r="H48" s="18"/>
      <c r="I48" s="45"/>
      <c r="J48" s="45"/>
      <c r="K48" s="46"/>
      <c r="L48" s="45"/>
      <c r="M48" s="45"/>
    </row>
    <row r="49" ht="12.75" customHeight="1" spans="1:13" x14ac:dyDescent="0.25">
      <c r="A49" s="18">
        <f>A50+1</f>
        <v>2007</v>
      </c>
      <c r="B49" s="44">
        <f>'Tax Value Calcs'!I48</f>
        <v>10700</v>
      </c>
      <c r="C49" s="45">
        <f>'Tax Value Calcs'!K48</f>
        <v>5350</v>
      </c>
      <c r="D49" s="46">
        <f>B49/C49</f>
        <v>2</v>
      </c>
      <c r="E49" s="45">
        <f>'Tax Value Calcs'!M48</f>
        <v>7850</v>
      </c>
      <c r="F49" s="45">
        <f>'Tax Value Calcs'!O48</f>
        <v>5350</v>
      </c>
      <c r="H49" s="18"/>
      <c r="I49" s="45"/>
      <c r="J49" s="45"/>
      <c r="K49" s="46"/>
      <c r="L49" s="45"/>
      <c r="M49" s="45"/>
    </row>
    <row r="50" ht="12.75" customHeight="1" spans="1:13" x14ac:dyDescent="0.25">
      <c r="A50" s="18">
        <f>A51+1</f>
        <v>2006</v>
      </c>
      <c r="B50" s="44">
        <f>'Tax Value Calcs'!I49</f>
        <v>10300</v>
      </c>
      <c r="C50" s="45">
        <f>'Tax Value Calcs'!K49</f>
        <v>5150</v>
      </c>
      <c r="D50" s="46">
        <f>B50/C50</f>
        <v>2</v>
      </c>
      <c r="E50" s="45">
        <f>'Tax Value Calcs'!M49</f>
        <v>7550</v>
      </c>
      <c r="F50" s="45">
        <f>'Tax Value Calcs'!O49</f>
        <v>5150</v>
      </c>
      <c r="H50" s="18"/>
      <c r="I50" s="45"/>
      <c r="J50" s="45"/>
      <c r="K50" s="46"/>
      <c r="L50" s="45"/>
      <c r="M50" s="45"/>
    </row>
    <row r="51" ht="12.75" customHeight="1" spans="1:13" x14ac:dyDescent="0.25">
      <c r="A51" s="18">
        <f>A52+1</f>
        <v>2005</v>
      </c>
      <c r="B51" s="44">
        <f>'Tax Value Calcs'!I50</f>
        <v>10000</v>
      </c>
      <c r="C51" s="45">
        <f>'Tax Value Calcs'!K50</f>
        <v>5000</v>
      </c>
      <c r="D51" s="46">
        <f>B51/C51</f>
        <v>2</v>
      </c>
      <c r="E51" s="45">
        <f>'Tax Value Calcs'!M50</f>
        <v>7300</v>
      </c>
      <c r="F51" s="45">
        <f>'Tax Value Calcs'!O50</f>
        <v>5000</v>
      </c>
      <c r="H51" s="18"/>
      <c r="I51" s="45"/>
      <c r="J51" s="45"/>
      <c r="K51" s="46"/>
      <c r="L51" s="45"/>
      <c r="M51" s="45"/>
    </row>
    <row r="52" ht="12.75" customHeight="1" spans="1:14" x14ac:dyDescent="0.25">
      <c r="A52" s="18">
        <f>A53+1</f>
        <v>2004</v>
      </c>
      <c r="B52" s="44">
        <f>'Tax Value Calcs'!I51</f>
        <v>9700</v>
      </c>
      <c r="C52" s="45">
        <f>'Tax Value Calcs'!K51</f>
        <v>4850</v>
      </c>
      <c r="D52" s="46">
        <f>B52/C52</f>
        <v>2</v>
      </c>
      <c r="E52" s="45">
        <f>'Tax Value Calcs'!M51</f>
        <v>7150</v>
      </c>
      <c r="F52" s="45">
        <f>'Tax Value Calcs'!O51</f>
        <v>4850</v>
      </c>
      <c r="H52" s="18"/>
      <c r="I52" s="45"/>
      <c r="J52" s="45"/>
      <c r="K52" s="46"/>
      <c r="L52" s="45"/>
      <c r="M52" s="45"/>
      <c r="N52" s="37"/>
    </row>
    <row r="53" ht="12.75" customHeight="1" spans="1:14" x14ac:dyDescent="0.25">
      <c r="A53" s="18">
        <f>A54+1</f>
        <v>2003</v>
      </c>
      <c r="B53" s="44">
        <f>'Tax Value Calcs'!I52</f>
        <v>9500</v>
      </c>
      <c r="C53" s="45">
        <f>'Tax Value Calcs'!K52</f>
        <v>4750</v>
      </c>
      <c r="D53" s="46">
        <v>2</v>
      </c>
      <c r="E53" s="45">
        <f>'Tax Value Calcs'!M52</f>
        <v>7000</v>
      </c>
      <c r="F53" s="45">
        <f>'Tax Value Calcs'!O52</f>
        <v>4750</v>
      </c>
      <c r="H53" s="18"/>
      <c r="I53" s="45"/>
      <c r="J53" s="45"/>
      <c r="K53" s="46"/>
      <c r="L53" s="45"/>
      <c r="M53" s="45"/>
      <c r="N53" s="37"/>
    </row>
    <row r="54" ht="12.75" customHeight="1" spans="1:14" x14ac:dyDescent="0.25">
      <c r="A54" s="18">
        <f>A55+1</f>
        <v>2002</v>
      </c>
      <c r="B54" s="44">
        <f>'Tax Value Calcs'!I53</f>
        <v>7850</v>
      </c>
      <c r="C54" s="45">
        <f>'Tax Value Calcs'!K53</f>
        <v>4700</v>
      </c>
      <c r="D54" s="46">
        <f>B54/C54</f>
        <v>1.67021276595745</v>
      </c>
      <c r="E54" s="45">
        <f>'Tax Value Calcs'!M53</f>
        <v>6900</v>
      </c>
      <c r="F54" s="45">
        <f>'Tax Value Calcs'!O53</f>
        <v>4700</v>
      </c>
      <c r="H54" s="18"/>
      <c r="I54" s="45"/>
      <c r="J54" s="45"/>
      <c r="K54" s="46"/>
      <c r="L54" s="45"/>
      <c r="M54" s="45"/>
      <c r="N54" s="37"/>
    </row>
    <row r="55" ht="12.75" customHeight="1" spans="1:14" x14ac:dyDescent="0.25">
      <c r="A55" s="18">
        <f>A56+1</f>
        <v>2001</v>
      </c>
      <c r="B55" s="44">
        <f>'Tax Value Calcs'!I54</f>
        <v>7600</v>
      </c>
      <c r="C55" s="45">
        <f>'Tax Value Calcs'!K54</f>
        <v>4550</v>
      </c>
      <c r="D55" s="46">
        <f>B55/C55</f>
        <v>1.67032967032967</v>
      </c>
      <c r="E55" s="45">
        <f>'Tax Value Calcs'!M54</f>
        <v>6650</v>
      </c>
      <c r="F55" s="45">
        <f>'Tax Value Calcs'!O54</f>
        <v>4550</v>
      </c>
      <c r="H55" s="18"/>
      <c r="I55" s="45"/>
      <c r="J55" s="45"/>
      <c r="K55" s="46"/>
      <c r="L55" s="45"/>
      <c r="M55" s="45"/>
      <c r="N55" s="37"/>
    </row>
    <row r="56" ht="12.75" customHeight="1" spans="1:14" x14ac:dyDescent="0.25">
      <c r="A56" s="18">
        <v>2000</v>
      </c>
      <c r="B56" s="44">
        <f>'Tax Value Calcs'!I55</f>
        <v>7350</v>
      </c>
      <c r="C56" s="45">
        <f>'Tax Value Calcs'!K55</f>
        <v>4400</v>
      </c>
      <c r="D56" s="46">
        <f>B56/C56</f>
        <v>1.67045454545455</v>
      </c>
      <c r="E56" s="45">
        <f>'Tax Value Calcs'!M55</f>
        <v>6450</v>
      </c>
      <c r="F56" s="45">
        <f>'Tax Value Calcs'!O55</f>
        <v>4400</v>
      </c>
      <c r="H56" s="18"/>
      <c r="I56" s="45"/>
      <c r="J56" s="45"/>
      <c r="K56" s="46"/>
      <c r="L56" s="45"/>
      <c r="M56" s="45"/>
      <c r="N56" s="37"/>
    </row>
    <row r="57" ht="12.75" customHeight="1" spans="1:14" x14ac:dyDescent="0.25">
      <c r="A57" s="15" t="s">
        <v>159</v>
      </c>
      <c r="B57" s="45"/>
      <c r="C57" s="45"/>
      <c r="D57" s="46"/>
      <c r="E57" s="45"/>
      <c r="F57" s="45"/>
      <c r="H57" s="15"/>
      <c r="I57" s="45"/>
      <c r="J57" s="45"/>
      <c r="K57" s="46"/>
      <c r="L57" s="45"/>
      <c r="M57" s="45"/>
      <c r="N57" s="37"/>
    </row>
    <row r="58" ht="12.75" customHeight="1" spans="1:6" x14ac:dyDescent="0.25">
      <c r="A58" s="15"/>
      <c r="B58" s="15"/>
      <c r="C58" s="15"/>
      <c r="D58" s="15"/>
      <c r="E58" s="15"/>
      <c r="F58" s="15"/>
    </row>
    <row r="59" ht="24.75" customHeight="1" spans="1:6" x14ac:dyDescent="0.25">
      <c r="A59" s="39" t="s">
        <v>160</v>
      </c>
      <c r="B59" s="15"/>
      <c r="C59" s="15"/>
      <c r="D59" s="15"/>
      <c r="E59" s="15"/>
      <c r="F59" s="15"/>
    </row>
    <row r="60" ht="15.75" customHeight="1" spans="1:6" x14ac:dyDescent="0.25">
      <c r="A60" s="24" t="s">
        <v>161</v>
      </c>
      <c r="B60" s="40" t="s">
        <v>162</v>
      </c>
      <c r="C60" s="24" t="s">
        <v>36</v>
      </c>
      <c r="E60" s="15"/>
      <c r="F60" s="15"/>
    </row>
    <row r="61" ht="13.5" customHeight="1" spans="1:6" x14ac:dyDescent="0.25">
      <c r="A61" s="27">
        <f>A62+1</f>
        <v>2022</v>
      </c>
      <c r="B61" s="41">
        <f>C61*2</f>
        <v>8900</v>
      </c>
      <c r="C61" s="51">
        <f>'Tax Value Calcs'!D73</f>
        <v>4450</v>
      </c>
      <c r="E61" s="15"/>
      <c r="F61" s="15"/>
    </row>
    <row r="62" ht="12.75" customHeight="1" spans="1:6" x14ac:dyDescent="0.25">
      <c r="A62" s="47">
        <f>A63+1</f>
        <v>2021</v>
      </c>
      <c r="B62" s="48">
        <f>C62*2</f>
        <v>8700</v>
      </c>
      <c r="C62" s="52">
        <f>'Tax Value Calcs'!D74</f>
        <v>4350</v>
      </c>
      <c r="E62" s="15"/>
      <c r="F62" s="15"/>
    </row>
    <row r="63" ht="12.75" customHeight="1" spans="1:6" x14ac:dyDescent="0.25">
      <c r="A63" s="47">
        <f>A64+1</f>
        <v>2020</v>
      </c>
      <c r="B63" s="48">
        <f>C63*2</f>
        <v>8600</v>
      </c>
      <c r="C63" s="52">
        <f>'Tax Value Calcs'!D75</f>
        <v>4300</v>
      </c>
      <c r="E63" s="15"/>
      <c r="F63" s="15"/>
    </row>
    <row r="64" ht="12.75" customHeight="1" spans="1:6" x14ac:dyDescent="0.25">
      <c r="A64" s="47">
        <f>A65+1</f>
        <v>2019</v>
      </c>
      <c r="B64" s="48">
        <f>C64*2</f>
        <v>8400</v>
      </c>
      <c r="C64" s="52">
        <f>'Tax Value Calcs'!D76</f>
        <v>4200</v>
      </c>
      <c r="E64" s="15"/>
      <c r="F64" s="15"/>
    </row>
    <row r="65" ht="12.75" customHeight="1" spans="1:6" x14ac:dyDescent="0.25">
      <c r="A65" s="47">
        <f>A66+1</f>
        <v>2018</v>
      </c>
      <c r="B65" s="48">
        <f>C65*2</f>
        <v>8300</v>
      </c>
      <c r="C65" s="52">
        <f>'Tax Value Calcs'!D77</f>
        <v>4150</v>
      </c>
      <c r="E65" s="15"/>
      <c r="F65" s="15"/>
    </row>
    <row r="66" ht="12.75" customHeight="1" spans="1:6" x14ac:dyDescent="0.25">
      <c r="A66" s="18">
        <f>A67+1</f>
        <v>2017</v>
      </c>
      <c r="B66" s="44">
        <f>C66*2</f>
        <v>8100</v>
      </c>
      <c r="C66" s="53">
        <f>'Tax Value Calcs'!D78</f>
        <v>4050</v>
      </c>
      <c r="E66" s="15"/>
      <c r="F66" s="15"/>
    </row>
    <row r="67" ht="12.75" customHeight="1" spans="1:6" x14ac:dyDescent="0.25">
      <c r="A67" s="18">
        <f>A68+1</f>
        <v>2016</v>
      </c>
      <c r="B67" s="44">
        <f>C67*2</f>
        <v>8100</v>
      </c>
      <c r="C67" s="53">
        <f>'Tax Value Calcs'!D79</f>
        <v>4050</v>
      </c>
      <c r="E67" s="15"/>
      <c r="F67" s="15"/>
    </row>
    <row r="68" ht="12.75" customHeight="1" spans="1:6" x14ac:dyDescent="0.25">
      <c r="A68" s="18">
        <f>A69+1</f>
        <v>2015</v>
      </c>
      <c r="B68" s="44">
        <f>C68*2</f>
        <v>8000</v>
      </c>
      <c r="C68" s="53">
        <f>'Tax Value Calcs'!D80</f>
        <v>4000</v>
      </c>
      <c r="E68" s="15"/>
      <c r="F68" s="15"/>
    </row>
    <row r="69" ht="12.75" customHeight="1" spans="1:6" x14ac:dyDescent="0.25">
      <c r="A69" s="18">
        <f>A70+1</f>
        <v>2014</v>
      </c>
      <c r="B69" s="44">
        <f>C69*2</f>
        <v>7900</v>
      </c>
      <c r="C69" s="53">
        <f>'Tax Value Calcs'!D81</f>
        <v>3950</v>
      </c>
      <c r="E69" s="15"/>
      <c r="F69" s="15"/>
    </row>
    <row r="70" ht="12.75" customHeight="1" spans="1:6" x14ac:dyDescent="0.25">
      <c r="A70" s="18">
        <f>A71+1</f>
        <v>2013</v>
      </c>
      <c r="B70" s="44">
        <f>C70*2</f>
        <v>7800</v>
      </c>
      <c r="C70" s="53">
        <f>'Tax Value Calcs'!D82</f>
        <v>3900</v>
      </c>
      <c r="E70" s="15"/>
      <c r="F70" s="15"/>
    </row>
    <row r="71" ht="12.75" customHeight="1" spans="1:6" x14ac:dyDescent="0.25">
      <c r="A71" s="18">
        <f>A72+1</f>
        <v>2012</v>
      </c>
      <c r="B71" s="44">
        <f>C71*2</f>
        <v>7600</v>
      </c>
      <c r="C71" s="53">
        <v>3800</v>
      </c>
      <c r="E71" s="15"/>
      <c r="F71" s="15"/>
    </row>
    <row r="72" ht="12.75" customHeight="1" spans="1:6" x14ac:dyDescent="0.25">
      <c r="A72" s="18">
        <f>A73+1</f>
        <v>2011</v>
      </c>
      <c r="B72" s="44">
        <f>C72*2</f>
        <v>7400</v>
      </c>
      <c r="C72" s="53">
        <v>3700</v>
      </c>
      <c r="E72" s="15"/>
      <c r="F72" s="15"/>
    </row>
    <row r="73" ht="12.75" customHeight="1" spans="1:6" x14ac:dyDescent="0.25">
      <c r="A73" s="18">
        <f>A74+1</f>
        <v>2010</v>
      </c>
      <c r="B73" s="44">
        <v>7300</v>
      </c>
      <c r="C73" s="53">
        <v>3650</v>
      </c>
      <c r="E73" s="15"/>
      <c r="F73" s="15"/>
    </row>
    <row r="74" ht="12.75" customHeight="1" spans="1:6" x14ac:dyDescent="0.25">
      <c r="A74" s="18">
        <f>A75+1</f>
        <v>2009</v>
      </c>
      <c r="B74" s="44">
        <v>7300</v>
      </c>
      <c r="C74" s="53">
        <v>3650</v>
      </c>
      <c r="E74" s="15"/>
      <c r="F74" s="15"/>
    </row>
    <row r="75" ht="12.75" customHeight="1" spans="1:6" x14ac:dyDescent="0.25">
      <c r="A75" s="18">
        <f>A76+1</f>
        <v>2008</v>
      </c>
      <c r="B75" s="44">
        <v>7000</v>
      </c>
      <c r="C75" s="53">
        <v>3500</v>
      </c>
      <c r="E75" s="15"/>
      <c r="F75" s="15"/>
    </row>
    <row r="76" ht="12.75" customHeight="1" spans="1:6" x14ac:dyDescent="0.25">
      <c r="A76" s="18">
        <f>A77+1</f>
        <v>2007</v>
      </c>
      <c r="B76" s="44">
        <v>6800</v>
      </c>
      <c r="C76" s="53">
        <v>3400</v>
      </c>
      <c r="E76" s="15"/>
      <c r="F76" s="15"/>
    </row>
    <row r="77" ht="12.75" customHeight="1" spans="1:6" x14ac:dyDescent="0.25">
      <c r="A77" s="18">
        <f>A78+1</f>
        <v>2006</v>
      </c>
      <c r="B77" s="44">
        <v>6600</v>
      </c>
      <c r="C77" s="53">
        <v>3300</v>
      </c>
      <c r="E77" s="15"/>
      <c r="F77" s="15"/>
    </row>
    <row r="78" ht="12.75" customHeight="1" spans="1:6" x14ac:dyDescent="0.25">
      <c r="A78" s="18">
        <f>A79+1</f>
        <v>2005</v>
      </c>
      <c r="B78" s="44">
        <v>6400</v>
      </c>
      <c r="C78" s="53">
        <v>3200</v>
      </c>
      <c r="E78" s="15"/>
      <c r="F78" s="15"/>
    </row>
    <row r="79" ht="12.75" customHeight="1" spans="1:6" x14ac:dyDescent="0.25">
      <c r="A79" s="18">
        <f>A80+1</f>
        <v>2004</v>
      </c>
      <c r="B79" s="44">
        <v>6200</v>
      </c>
      <c r="C79" s="53">
        <v>3100</v>
      </c>
      <c r="E79" s="15"/>
      <c r="F79" s="15"/>
    </row>
    <row r="80" ht="12.75" customHeight="1" spans="1:6" x14ac:dyDescent="0.25">
      <c r="A80" s="18">
        <f>A81+1</f>
        <v>2003</v>
      </c>
      <c r="B80" s="44">
        <v>6100</v>
      </c>
      <c r="C80" s="53">
        <v>3050</v>
      </c>
      <c r="E80" s="15"/>
      <c r="F80" s="15"/>
    </row>
    <row r="81" ht="12.75" customHeight="1" spans="1:6" x14ac:dyDescent="0.25">
      <c r="A81" s="18">
        <f>A82+1</f>
        <v>2002</v>
      </c>
      <c r="B81" s="44">
        <v>6000</v>
      </c>
      <c r="C81" s="53">
        <v>3000</v>
      </c>
      <c r="E81" s="15"/>
      <c r="F81" s="15"/>
    </row>
    <row r="82" ht="12.75" customHeight="1" spans="1:6" x14ac:dyDescent="0.25">
      <c r="A82" s="18">
        <f>A83+1</f>
        <v>2001</v>
      </c>
      <c r="B82" s="44">
        <v>5800</v>
      </c>
      <c r="C82" s="53">
        <v>2900</v>
      </c>
      <c r="E82" s="15"/>
      <c r="F82" s="15"/>
    </row>
    <row r="83" ht="12.75" customHeight="1" spans="1:6" x14ac:dyDescent="0.25">
      <c r="A83" s="18">
        <v>2000</v>
      </c>
      <c r="B83" s="44">
        <v>5600</v>
      </c>
      <c r="C83" s="53">
        <v>2800</v>
      </c>
      <c r="E83" s="15"/>
      <c r="F83" s="15"/>
    </row>
    <row r="84" ht="12.75" customHeight="1" spans="1:6" x14ac:dyDescent="0.25">
      <c r="A84" s="18"/>
      <c r="B84" s="53"/>
      <c r="C84" s="45"/>
      <c r="D84" s="15"/>
      <c r="E84" s="15"/>
      <c r="F84" s="15"/>
    </row>
    <row r="85" ht="24.75" customHeight="1" spans="1:6" x14ac:dyDescent="0.25">
      <c r="A85" s="39" t="s">
        <v>163</v>
      </c>
      <c r="F85" s="22"/>
    </row>
    <row r="86" ht="30" customHeight="1" spans="1:10" x14ac:dyDescent="0.25">
      <c r="A86" s="54"/>
      <c r="B86" s="40" t="s">
        <v>162</v>
      </c>
      <c r="C86" s="24" t="s">
        <v>36</v>
      </c>
      <c r="D86" s="24" t="s">
        <v>37</v>
      </c>
      <c r="E86" s="24" t="s">
        <v>158</v>
      </c>
      <c r="F86" s="24" t="s">
        <v>164</v>
      </c>
      <c r="G86" s="55"/>
      <c r="H86" s="55"/>
      <c r="I86" s="55"/>
      <c r="J86" s="55"/>
    </row>
    <row r="87" ht="13.5" customHeight="1" spans="1:10" x14ac:dyDescent="0.25">
      <c r="A87" s="27">
        <f>A88+1</f>
        <v>2022</v>
      </c>
      <c r="B87" s="56">
        <f>'Tax Value Calcs'!D111</f>
        <v>344050</v>
      </c>
      <c r="C87" s="57">
        <f>'Tax Value Calcs'!F111</f>
        <v>286700</v>
      </c>
      <c r="D87" s="57">
        <f>'Tax Value Calcs'!H111</f>
        <v>315350</v>
      </c>
      <c r="E87" s="57">
        <f>'Tax Value Calcs'!J111</f>
        <v>172025</v>
      </c>
      <c r="F87" s="58">
        <v>1</v>
      </c>
      <c r="G87" s="55"/>
      <c r="H87" s="55"/>
      <c r="I87" s="55"/>
      <c r="J87" s="55"/>
    </row>
    <row r="88" ht="12.75" customHeight="1" spans="1:10" x14ac:dyDescent="0.25">
      <c r="A88" s="47">
        <f>A89+1</f>
        <v>2021</v>
      </c>
      <c r="B88" s="59">
        <f>'Tax Value Calcs'!D112</f>
        <v>334000</v>
      </c>
      <c r="C88" s="60">
        <f>'Tax Value Calcs'!F112</f>
        <v>278350</v>
      </c>
      <c r="D88" s="60">
        <f>'Tax Value Calcs'!H112</f>
        <v>306200</v>
      </c>
      <c r="E88" s="60">
        <f>'Tax Value Calcs'!J112</f>
        <v>167000</v>
      </c>
      <c r="F88" s="61">
        <v>1</v>
      </c>
      <c r="G88" s="55"/>
      <c r="H88" s="55"/>
      <c r="I88" s="55"/>
      <c r="J88" s="55"/>
    </row>
    <row r="89" ht="12.75" customHeight="1" spans="1:10" x14ac:dyDescent="0.25">
      <c r="A89" s="47">
        <f>A90+1</f>
        <v>2020</v>
      </c>
      <c r="B89" s="59">
        <f>'Tax Value Calcs'!D113</f>
        <v>330350</v>
      </c>
      <c r="C89" s="60">
        <f>'Tax Value Calcs'!F113</f>
        <v>275300</v>
      </c>
      <c r="D89" s="60">
        <f>'Tax Value Calcs'!H113</f>
        <v>302850</v>
      </c>
      <c r="E89" s="60">
        <f>'Tax Value Calcs'!J113</f>
        <v>165175</v>
      </c>
      <c r="F89" s="61">
        <v>1</v>
      </c>
      <c r="G89" s="55"/>
      <c r="H89" s="55"/>
      <c r="I89" s="55"/>
      <c r="J89" s="55"/>
    </row>
    <row r="90" ht="12.75" customHeight="1" spans="1:10" x14ac:dyDescent="0.25">
      <c r="A90" s="47">
        <f>A91+1</f>
        <v>2019</v>
      </c>
      <c r="B90" s="59">
        <f>'Tax Value Calcs'!D114</f>
        <v>325300</v>
      </c>
      <c r="C90" s="60">
        <f>'Tax Value Calcs'!F114</f>
        <v>271100</v>
      </c>
      <c r="D90" s="60">
        <f>'Tax Value Calcs'!H114</f>
        <v>298200</v>
      </c>
      <c r="E90" s="60">
        <f>'Tax Value Calcs'!J114</f>
        <v>162650</v>
      </c>
      <c r="F90" s="61">
        <v>1</v>
      </c>
      <c r="G90" s="55"/>
      <c r="H90" s="55"/>
      <c r="I90" s="55"/>
      <c r="J90" s="55"/>
    </row>
    <row r="91" ht="12.75" customHeight="1" spans="1:10" x14ac:dyDescent="0.25">
      <c r="A91" s="47">
        <f>A92+1</f>
        <v>2018</v>
      </c>
      <c r="B91" s="59">
        <f>'Tax Value Calcs'!D115</f>
        <v>318950</v>
      </c>
      <c r="C91" s="60">
        <f>'Tax Value Calcs'!F115</f>
        <v>265800</v>
      </c>
      <c r="D91" s="60">
        <f>'Tax Value Calcs'!H115</f>
        <v>292400</v>
      </c>
      <c r="E91" s="60">
        <f>'Tax Value Calcs'!J115</f>
        <v>159475</v>
      </c>
      <c r="F91" s="61">
        <v>1</v>
      </c>
      <c r="G91" s="55"/>
      <c r="H91" s="55"/>
      <c r="I91" s="55"/>
      <c r="J91" s="55"/>
    </row>
    <row r="92" ht="12.75" customHeight="1" spans="1:10" x14ac:dyDescent="0.25">
      <c r="A92" s="18">
        <f>A93+1</f>
        <v>2017</v>
      </c>
      <c r="B92" s="62">
        <f>'Tax Value Calcs'!D116</f>
        <v>313800</v>
      </c>
      <c r="C92" s="63">
        <f>'Tax Value Calcs'!F116</f>
        <v>261500</v>
      </c>
      <c r="D92" s="63">
        <f>'Tax Value Calcs'!H116</f>
        <v>287650</v>
      </c>
      <c r="E92" s="63">
        <f>'Tax Value Calcs'!J116</f>
        <v>156900</v>
      </c>
      <c r="F92" s="64">
        <v>1</v>
      </c>
      <c r="G92" s="55"/>
      <c r="H92" s="55"/>
      <c r="I92" s="55"/>
      <c r="J92" s="55"/>
    </row>
    <row r="93" ht="12.75" customHeight="1" spans="1:10" x14ac:dyDescent="0.25">
      <c r="A93" s="18">
        <f>A94+1</f>
        <v>2016</v>
      </c>
      <c r="B93" s="62">
        <f>'Tax Value Calcs'!D117</f>
        <v>311300</v>
      </c>
      <c r="C93" s="63">
        <f>'Tax Value Calcs'!F117</f>
        <v>259400</v>
      </c>
      <c r="D93" s="63">
        <f>'Tax Value Calcs'!H117</f>
        <v>285350</v>
      </c>
      <c r="E93" s="63">
        <f>'Tax Value Calcs'!J117</f>
        <v>155650</v>
      </c>
      <c r="F93" s="64">
        <v>1</v>
      </c>
      <c r="G93" s="55"/>
      <c r="H93" s="55"/>
      <c r="I93" s="55"/>
      <c r="J93" s="55"/>
    </row>
    <row r="94" ht="12.75" customHeight="1" spans="1:10" x14ac:dyDescent="0.25">
      <c r="A94" s="18">
        <f>A95+1</f>
        <v>2015</v>
      </c>
      <c r="B94" s="62">
        <f>'Tax Value Calcs'!D118</f>
        <v>309900</v>
      </c>
      <c r="C94" s="63">
        <f>'Tax Value Calcs'!F118</f>
        <v>258250</v>
      </c>
      <c r="D94" s="63">
        <f>'Tax Value Calcs'!H118</f>
        <v>284050</v>
      </c>
      <c r="E94" s="63">
        <f>'Tax Value Calcs'!J118</f>
        <v>154950</v>
      </c>
      <c r="F94" s="64">
        <v>1</v>
      </c>
      <c r="G94" s="55"/>
      <c r="H94" s="55"/>
      <c r="I94" s="55"/>
      <c r="J94" s="55"/>
    </row>
    <row r="95" ht="12.75" customHeight="1" spans="1:10" x14ac:dyDescent="0.25">
      <c r="A95" s="18">
        <f>A96+1</f>
        <v>2014</v>
      </c>
      <c r="B95" s="62">
        <f>'Tax Value Calcs'!D119</f>
        <v>305050</v>
      </c>
      <c r="C95" s="63">
        <f>'Tax Value Calcs'!F119</f>
        <v>254200</v>
      </c>
      <c r="D95" s="63">
        <f>'Tax Value Calcs'!H119</f>
        <v>279650</v>
      </c>
      <c r="E95" s="63">
        <f>'Tax Value Calcs'!J119</f>
        <v>152525</v>
      </c>
      <c r="F95" s="64">
        <v>1</v>
      </c>
      <c r="G95" s="55"/>
      <c r="H95" s="55"/>
      <c r="I95" s="55"/>
      <c r="J95" s="55"/>
    </row>
    <row r="96" ht="12.75" customHeight="1" spans="1:10" x14ac:dyDescent="0.25">
      <c r="A96" s="18">
        <v>2013</v>
      </c>
      <c r="B96" s="62">
        <f>'Tax Value Calcs'!D120</f>
        <v>300000</v>
      </c>
      <c r="C96" s="63">
        <f>'Tax Value Calcs'!F120</f>
        <v>250000</v>
      </c>
      <c r="D96" s="63">
        <f>'Tax Value Calcs'!H120</f>
        <v>275000</v>
      </c>
      <c r="E96" s="63">
        <f>'Tax Value Calcs'!J120</f>
        <v>150000</v>
      </c>
      <c r="F96" s="64">
        <v>1</v>
      </c>
      <c r="G96" s="55"/>
      <c r="H96" s="55"/>
      <c r="I96" s="55"/>
      <c r="J96" s="55"/>
    </row>
    <row r="97" ht="12.75" customHeight="1" spans="1:10" x14ac:dyDescent="0.25">
      <c r="A97" s="18"/>
      <c r="B97" s="37"/>
      <c r="C97" s="37"/>
      <c r="D97" s="37"/>
      <c r="E97" s="37"/>
      <c r="F97" s="38"/>
      <c r="G97" s="37"/>
      <c r="H97" s="37"/>
      <c r="I97" s="37"/>
      <c r="J97" s="37"/>
    </row>
    <row r="98" ht="24.75" customHeight="1" spans="1:6" x14ac:dyDescent="0.25">
      <c r="A98" s="39" t="s">
        <v>165</v>
      </c>
      <c r="B98" s="53"/>
      <c r="C98" s="45"/>
      <c r="D98" s="15"/>
      <c r="E98" s="15"/>
      <c r="F98" s="15"/>
    </row>
    <row r="99" ht="30" customHeight="1" spans="1:7" x14ac:dyDescent="0.25">
      <c r="A99" s="65"/>
      <c r="B99" s="40" t="s">
        <v>162</v>
      </c>
      <c r="C99" s="24" t="s">
        <v>36</v>
      </c>
      <c r="D99" s="24" t="s">
        <v>37</v>
      </c>
      <c r="E99" s="24" t="s">
        <v>158</v>
      </c>
      <c r="F99" s="24" t="s">
        <v>166</v>
      </c>
      <c r="G99" s="55"/>
    </row>
    <row r="100" ht="13.5" customHeight="1" spans="1:7" x14ac:dyDescent="0.25">
      <c r="A100" s="27">
        <f>A101+1</f>
        <v>2022</v>
      </c>
      <c r="B100" s="56">
        <f>'Tax Value Calcs'!D125</f>
        <v>344050</v>
      </c>
      <c r="C100" s="57">
        <f>'Tax Value Calcs'!F125</f>
        <v>286700</v>
      </c>
      <c r="D100" s="57">
        <f>'Tax Value Calcs'!H125</f>
        <v>315350</v>
      </c>
      <c r="E100" s="57">
        <f>'Tax Value Calcs'!J125</f>
        <v>172025</v>
      </c>
      <c r="F100" s="66">
        <v>1</v>
      </c>
      <c r="G100" s="55"/>
    </row>
    <row r="101" ht="12.75" customHeight="1" spans="1:7" x14ac:dyDescent="0.25">
      <c r="A101" s="47">
        <f>A102+1</f>
        <v>2021</v>
      </c>
      <c r="B101" s="59">
        <f>'Tax Value Calcs'!D126</f>
        <v>334000</v>
      </c>
      <c r="C101" s="60">
        <f>'Tax Value Calcs'!F126</f>
        <v>278350</v>
      </c>
      <c r="D101" s="60">
        <f>'Tax Value Calcs'!H126</f>
        <v>306200</v>
      </c>
      <c r="E101" s="60">
        <f>'Tax Value Calcs'!J126</f>
        <v>167000</v>
      </c>
      <c r="F101" s="67">
        <v>1</v>
      </c>
      <c r="G101" s="55"/>
    </row>
    <row r="102" ht="12.75" customHeight="1" spans="1:7" x14ac:dyDescent="0.25">
      <c r="A102" s="47">
        <f>A103+1</f>
        <v>2020</v>
      </c>
      <c r="B102" s="59">
        <f>'Tax Value Calcs'!D127</f>
        <v>330350</v>
      </c>
      <c r="C102" s="60">
        <f>'Tax Value Calcs'!F127</f>
        <v>275300</v>
      </c>
      <c r="D102" s="60">
        <f>'Tax Value Calcs'!H127</f>
        <v>302850</v>
      </c>
      <c r="E102" s="60">
        <f>'Tax Value Calcs'!J127</f>
        <v>165175</v>
      </c>
      <c r="F102" s="67">
        <v>1</v>
      </c>
      <c r="G102" s="55"/>
    </row>
    <row r="103" ht="12.75" customHeight="1" spans="1:7" x14ac:dyDescent="0.25">
      <c r="A103" s="47">
        <f>A104+1</f>
        <v>2019</v>
      </c>
      <c r="B103" s="59">
        <f>'Tax Value Calcs'!D128</f>
        <v>325300</v>
      </c>
      <c r="C103" s="60">
        <f>'Tax Value Calcs'!F128</f>
        <v>271100</v>
      </c>
      <c r="D103" s="60">
        <f>'Tax Value Calcs'!H128</f>
        <v>298200</v>
      </c>
      <c r="E103" s="60">
        <f>'Tax Value Calcs'!J128</f>
        <v>162650</v>
      </c>
      <c r="F103" s="67">
        <v>1</v>
      </c>
      <c r="G103" s="55"/>
    </row>
    <row r="104" ht="12.75" customHeight="1" spans="1:7" x14ac:dyDescent="0.25">
      <c r="A104" s="47">
        <f>A105+1</f>
        <v>2018</v>
      </c>
      <c r="B104" s="59">
        <f>'Tax Value Calcs'!D129</f>
        <v>318950</v>
      </c>
      <c r="C104" s="60">
        <f>'Tax Value Calcs'!F129</f>
        <v>265800</v>
      </c>
      <c r="D104" s="60">
        <f>'Tax Value Calcs'!H129</f>
        <v>292400</v>
      </c>
      <c r="E104" s="60">
        <f>'Tax Value Calcs'!J129</f>
        <v>159475</v>
      </c>
      <c r="F104" s="67">
        <v>1</v>
      </c>
      <c r="G104" s="55"/>
    </row>
    <row r="105" ht="12.75" customHeight="1" spans="1:7" x14ac:dyDescent="0.25">
      <c r="A105" s="18">
        <f>A106+1</f>
        <v>2017</v>
      </c>
      <c r="B105" s="62">
        <f>'Tax Value Calcs'!D130</f>
        <v>313800</v>
      </c>
      <c r="C105" s="63">
        <f>'Tax Value Calcs'!F130</f>
        <v>261500</v>
      </c>
      <c r="D105" s="63">
        <f>'Tax Value Calcs'!H130</f>
        <v>287650</v>
      </c>
      <c r="E105" s="63">
        <f>'Tax Value Calcs'!J130</f>
        <v>156900</v>
      </c>
      <c r="F105" s="68">
        <v>1</v>
      </c>
      <c r="G105" s="55"/>
    </row>
    <row r="106" ht="12.75" customHeight="1" spans="1:7" x14ac:dyDescent="0.25">
      <c r="A106" s="18">
        <f>A107+1</f>
        <v>2016</v>
      </c>
      <c r="B106" s="62">
        <f>'Tax Value Calcs'!D131</f>
        <v>311300</v>
      </c>
      <c r="C106" s="63">
        <f>'Tax Value Calcs'!F131</f>
        <v>259400</v>
      </c>
      <c r="D106" s="63">
        <f>'Tax Value Calcs'!H131</f>
        <v>285350</v>
      </c>
      <c r="E106" s="63">
        <f>'Tax Value Calcs'!J131</f>
        <v>155650</v>
      </c>
      <c r="F106" s="68">
        <v>1</v>
      </c>
      <c r="G106" s="55"/>
    </row>
    <row r="107" ht="12.75" customHeight="1" spans="1:7" x14ac:dyDescent="0.25">
      <c r="A107" s="18">
        <f>A108+1</f>
        <v>2015</v>
      </c>
      <c r="B107" s="62">
        <f>'Tax Value Calcs'!D132</f>
        <v>309900</v>
      </c>
      <c r="C107" s="63">
        <f>'Tax Value Calcs'!F132</f>
        <v>258250</v>
      </c>
      <c r="D107" s="63">
        <f>'Tax Value Calcs'!H132</f>
        <v>284050</v>
      </c>
      <c r="E107" s="63">
        <f>'Tax Value Calcs'!J132</f>
        <v>154950</v>
      </c>
      <c r="F107" s="68">
        <v>1</v>
      </c>
      <c r="G107" s="55"/>
    </row>
    <row r="108" ht="12.75" customHeight="1" spans="1:7" x14ac:dyDescent="0.25">
      <c r="A108" s="18">
        <f>A109+1</f>
        <v>2014</v>
      </c>
      <c r="B108" s="62">
        <f>'Tax Value Calcs'!D133</f>
        <v>305050</v>
      </c>
      <c r="C108" s="63">
        <f>'Tax Value Calcs'!F133</f>
        <v>254200</v>
      </c>
      <c r="D108" s="63">
        <f>'Tax Value Calcs'!H133</f>
        <v>279650</v>
      </c>
      <c r="E108" s="63">
        <f>'Tax Value Calcs'!J133</f>
        <v>152525</v>
      </c>
      <c r="F108" s="68">
        <v>1</v>
      </c>
      <c r="G108" s="66"/>
    </row>
    <row r="109" ht="12.75" customHeight="1" spans="1:6" x14ac:dyDescent="0.25">
      <c r="A109" s="18">
        <v>2013</v>
      </c>
      <c r="B109" s="62">
        <f>'Tax Value Calcs'!D134</f>
        <v>300000</v>
      </c>
      <c r="C109" s="63">
        <f>'Tax Value Calcs'!F134</f>
        <v>250000</v>
      </c>
      <c r="D109" s="63">
        <f>'Tax Value Calcs'!H134</f>
        <v>275000</v>
      </c>
      <c r="E109" s="63">
        <f>'Tax Value Calcs'!J134</f>
        <v>150000</v>
      </c>
      <c r="F109" s="64">
        <v>1</v>
      </c>
    </row>
    <row r="110" ht="12.75" customHeight="1" spans="1:6" x14ac:dyDescent="0.25">
      <c r="A110" s="18"/>
      <c r="B110" s="63"/>
      <c r="C110" s="63"/>
      <c r="D110" s="63"/>
      <c r="E110" s="63"/>
      <c r="F110" s="64"/>
    </row>
    <row r="111" ht="15" customHeight="1" spans="1:6" x14ac:dyDescent="0.25">
      <c r="A111" s="22" t="s">
        <v>167</v>
      </c>
      <c r="B111" s="15"/>
      <c r="C111" s="15"/>
      <c r="D111" s="37"/>
      <c r="E111" s="37"/>
      <c r="F111" s="64"/>
    </row>
    <row r="112" ht="15.75" customHeight="1" spans="1:6" x14ac:dyDescent="0.25">
      <c r="A112" s="24" t="s">
        <v>161</v>
      </c>
      <c r="B112" s="40" t="s">
        <v>162</v>
      </c>
      <c r="C112" s="24" t="s">
        <v>36</v>
      </c>
      <c r="D112" s="24" t="s">
        <v>168</v>
      </c>
      <c r="E112" s="24" t="s">
        <v>158</v>
      </c>
      <c r="F112" s="64"/>
    </row>
    <row r="113" ht="13.5" customHeight="1" spans="1:6" x14ac:dyDescent="0.25">
      <c r="A113" s="27">
        <f>A114+1</f>
        <v>2022</v>
      </c>
      <c r="B113" s="69">
        <f>'Tax Value Calcs'!D139</f>
        <v>339700</v>
      </c>
      <c r="C113" s="51">
        <f>'Tax Value Calcs'!F139</f>
        <v>169800</v>
      </c>
      <c r="D113" s="51">
        <f>'Tax Value Calcs'!H139</f>
        <v>169800</v>
      </c>
      <c r="E113" s="51">
        <f>'Tax Value Calcs'!J139</f>
        <v>169800</v>
      </c>
      <c r="F113" s="64"/>
    </row>
    <row r="114" ht="12.75" customHeight="1" spans="1:6" x14ac:dyDescent="0.25">
      <c r="A114" s="18">
        <f>A115+1</f>
        <v>2021</v>
      </c>
      <c r="B114" s="70">
        <f>'Tax Value Calcs'!D140</f>
        <v>329800</v>
      </c>
      <c r="C114" s="53">
        <f>'Tax Value Calcs'!F140</f>
        <v>164900</v>
      </c>
      <c r="D114" s="53">
        <f>'Tax Value Calcs'!H140</f>
        <v>164900</v>
      </c>
      <c r="E114" s="53">
        <f>'Tax Value Calcs'!J140</f>
        <v>164925</v>
      </c>
      <c r="F114" s="64"/>
    </row>
    <row r="115" ht="12.75" customHeight="1" spans="1:6" x14ac:dyDescent="0.25">
      <c r="A115" s="18">
        <f>A116+1</f>
        <v>2020</v>
      </c>
      <c r="B115" s="70">
        <f>'Tax Value Calcs'!D141</f>
        <v>326200</v>
      </c>
      <c r="C115" s="53">
        <f>'Tax Value Calcs'!F141</f>
        <v>163100</v>
      </c>
      <c r="D115" s="53">
        <f>'Tax Value Calcs'!H141</f>
        <v>163100</v>
      </c>
      <c r="E115" s="53">
        <f>'Tax Value Calcs'!J141</f>
        <v>163125</v>
      </c>
      <c r="F115" s="64"/>
    </row>
    <row r="116" ht="12.75" customHeight="1" spans="1:6" x14ac:dyDescent="0.25">
      <c r="A116" s="18">
        <f>A117+1</f>
        <v>2019</v>
      </c>
      <c r="B116" s="70">
        <f>'Tax Value Calcs'!D142</f>
        <v>321200</v>
      </c>
      <c r="C116" s="53">
        <f>'Tax Value Calcs'!F142</f>
        <v>160600</v>
      </c>
      <c r="D116" s="53">
        <f>'Tax Value Calcs'!H142</f>
        <v>160600</v>
      </c>
      <c r="E116" s="53">
        <f>'Tax Value Calcs'!J142</f>
        <v>160625</v>
      </c>
      <c r="F116" s="64"/>
    </row>
    <row r="117" ht="12.75" customHeight="1" spans="1:6" x14ac:dyDescent="0.25">
      <c r="A117" s="18">
        <v>2018</v>
      </c>
      <c r="B117" s="70">
        <f>'Tax Value Calcs'!D143</f>
        <v>315000</v>
      </c>
      <c r="C117" s="53">
        <f>'Tax Value Calcs'!F143</f>
        <v>157500</v>
      </c>
      <c r="D117" s="53">
        <f>'Tax Value Calcs'!H143</f>
        <v>157500</v>
      </c>
      <c r="E117" s="53">
        <f>'Tax Value Calcs'!J143</f>
        <v>157500</v>
      </c>
      <c r="F117" s="64"/>
    </row>
    <row r="118" ht="12.75" customHeight="1" spans="1:6" x14ac:dyDescent="0.25">
      <c r="A118" s="18"/>
      <c r="B118" s="63"/>
      <c r="C118" s="63"/>
      <c r="D118" s="63"/>
      <c r="E118" s="63"/>
      <c r="F118" s="64"/>
    </row>
    <row r="119" ht="24.75" customHeight="1" spans="1:14" x14ac:dyDescent="0.25">
      <c r="A119" s="22" t="s">
        <v>19</v>
      </c>
      <c r="B119" s="15"/>
      <c r="C119" s="15"/>
      <c r="D119" s="37"/>
      <c r="E119" s="37"/>
      <c r="F119" s="71" t="s">
        <v>169</v>
      </c>
      <c r="J119" s="71" t="s">
        <v>170</v>
      </c>
      <c r="N119" s="71" t="s">
        <v>171</v>
      </c>
    </row>
    <row r="120" ht="15.75" customHeight="1" spans="1:17" x14ac:dyDescent="0.25">
      <c r="A120" s="24" t="s">
        <v>161</v>
      </c>
      <c r="B120" s="40" t="s">
        <v>162</v>
      </c>
      <c r="C120" s="24" t="s">
        <v>36</v>
      </c>
      <c r="D120" s="24" t="s">
        <v>168</v>
      </c>
      <c r="E120" s="24" t="s">
        <v>158</v>
      </c>
      <c r="F120" s="40" t="s">
        <v>162</v>
      </c>
      <c r="G120" s="24" t="s">
        <v>36</v>
      </c>
      <c r="H120" s="24" t="s">
        <v>168</v>
      </c>
      <c r="I120" s="24" t="s">
        <v>158</v>
      </c>
      <c r="J120" s="40" t="s">
        <v>162</v>
      </c>
      <c r="K120" s="24" t="s">
        <v>36</v>
      </c>
      <c r="L120" s="24" t="s">
        <v>168</v>
      </c>
      <c r="M120" s="24" t="s">
        <v>158</v>
      </c>
      <c r="N120" s="40" t="s">
        <v>162</v>
      </c>
      <c r="O120" s="24" t="s">
        <v>36</v>
      </c>
      <c r="P120" s="24" t="s">
        <v>168</v>
      </c>
      <c r="Q120" s="24" t="s">
        <v>158</v>
      </c>
    </row>
    <row r="121" ht="13.5" customHeight="1" spans="1:17" x14ac:dyDescent="0.25">
      <c r="A121" s="27">
        <f>A122+1</f>
        <v>2022</v>
      </c>
      <c r="B121" s="69">
        <f>'Tax Value Calcs'!D149</f>
        <v>118000</v>
      </c>
      <c r="C121" s="51">
        <f>'Tax Value Calcs'!F149</f>
        <v>75800</v>
      </c>
      <c r="D121" s="51">
        <f>'Tax Value Calcs'!H149</f>
        <v>75800</v>
      </c>
      <c r="E121" s="51">
        <f>'Tax Value Calcs'!J149</f>
        <v>59000</v>
      </c>
      <c r="F121" s="69">
        <f>'Tax Value Calcs'!D196</f>
        <v>205900</v>
      </c>
      <c r="G121" s="51">
        <f>'Tax Value Calcs'!F196</f>
        <v>205900</v>
      </c>
      <c r="H121" s="51">
        <f>'Tax Value Calcs'!H196</f>
        <v>205900</v>
      </c>
      <c r="I121" s="51">
        <f>'Tax Value Calcs'!J196</f>
        <v>102950</v>
      </c>
      <c r="J121" s="69">
        <f>'Tax Value Calcs'!D180</f>
        <v>1550600</v>
      </c>
      <c r="K121" s="51">
        <f>'Tax Value Calcs'!F180</f>
        <v>842500</v>
      </c>
      <c r="L121" s="51">
        <f>'Tax Value Calcs'!H180</f>
        <v>842500</v>
      </c>
      <c r="M121" s="51">
        <f>'Tax Value Calcs'!J180</f>
        <v>775300</v>
      </c>
      <c r="N121" s="69">
        <f>'Tax Value Calcs'!D165</f>
        <v>1078600</v>
      </c>
      <c r="O121" s="51">
        <f>'Tax Value Calcs'!F165</f>
        <v>539300</v>
      </c>
      <c r="P121" s="51">
        <f>'Tax Value Calcs'!H165</f>
        <v>539300</v>
      </c>
      <c r="Q121" s="51">
        <f>'Tax Value Calcs'!J165</f>
        <v>539300</v>
      </c>
    </row>
    <row r="122" ht="12.75" customHeight="1" spans="1:17" s="16" customFormat="1" x14ac:dyDescent="0.25">
      <c r="A122" s="18">
        <f>A123+1</f>
        <v>2021</v>
      </c>
      <c r="B122" s="70">
        <f>'Tax Value Calcs'!D150</f>
        <v>114600</v>
      </c>
      <c r="C122" s="53">
        <f>'Tax Value Calcs'!F150</f>
        <v>73600</v>
      </c>
      <c r="D122" s="53">
        <f>'Tax Value Calcs'!H150</f>
        <v>73600</v>
      </c>
      <c r="E122" s="53">
        <f>'Tax Value Calcs'!J150</f>
        <v>57300</v>
      </c>
      <c r="F122" s="70">
        <f>'Tax Value Calcs'!D197</f>
        <v>199900</v>
      </c>
      <c r="G122" s="53">
        <f>'Tax Value Calcs'!F197</f>
        <v>199900</v>
      </c>
      <c r="H122" s="53">
        <f>'Tax Value Calcs'!H197</f>
        <v>199900</v>
      </c>
      <c r="I122" s="53">
        <f>'Tax Value Calcs'!J197</f>
        <v>99950</v>
      </c>
      <c r="J122" s="70">
        <f>'Tax Value Calcs'!D181</f>
        <v>1505600</v>
      </c>
      <c r="K122" s="53">
        <f>'Tax Value Calcs'!F181</f>
        <v>818000</v>
      </c>
      <c r="L122" s="53">
        <f>'Tax Value Calcs'!H181</f>
        <v>818000</v>
      </c>
      <c r="M122" s="53">
        <f>'Tax Value Calcs'!J181</f>
        <v>752800</v>
      </c>
      <c r="N122" s="70">
        <f>'Tax Value Calcs'!D166</f>
        <v>1047200</v>
      </c>
      <c r="O122" s="53">
        <f>'Tax Value Calcs'!F166</f>
        <v>523600</v>
      </c>
      <c r="P122" s="53">
        <f>'Tax Value Calcs'!H166</f>
        <v>523600</v>
      </c>
      <c r="Q122" s="53">
        <f>'Tax Value Calcs'!J166</f>
        <v>523600</v>
      </c>
    </row>
    <row r="123" ht="13.5" customHeight="1" spans="1:17" x14ac:dyDescent="0.25">
      <c r="A123" s="18">
        <f>A124+1</f>
        <v>2020</v>
      </c>
      <c r="B123" s="70">
        <f>'Tax Value Calcs'!D151</f>
        <v>113300</v>
      </c>
      <c r="C123" s="53">
        <f>'Tax Value Calcs'!F151</f>
        <v>72800</v>
      </c>
      <c r="D123" s="53">
        <f>'Tax Value Calcs'!H151</f>
        <v>72800</v>
      </c>
      <c r="E123" s="53">
        <f>'Tax Value Calcs'!J151</f>
        <v>56650</v>
      </c>
      <c r="F123" s="70">
        <f>'Tax Value Calcs'!D198</f>
        <v>197700</v>
      </c>
      <c r="G123" s="53">
        <f>'Tax Value Calcs'!F198</f>
        <v>197700</v>
      </c>
      <c r="H123" s="53">
        <f>'Tax Value Calcs'!H198</f>
        <v>197700</v>
      </c>
      <c r="I123" s="53">
        <f>'Tax Value Calcs'!J198</f>
        <v>98850</v>
      </c>
      <c r="J123" s="70">
        <f>'Tax Value Calcs'!D182</f>
        <v>1488900</v>
      </c>
      <c r="K123" s="53">
        <f>'Tax Value Calcs'!F182</f>
        <v>809100</v>
      </c>
      <c r="L123" s="53">
        <f>'Tax Value Calcs'!H182</f>
        <v>809100</v>
      </c>
      <c r="M123" s="53">
        <f>'Tax Value Calcs'!J182</f>
        <v>744450</v>
      </c>
      <c r="N123" s="70">
        <f>'Tax Value Calcs'!D167</f>
        <v>1035700</v>
      </c>
      <c r="O123" s="53">
        <f>'Tax Value Calcs'!F167</f>
        <v>517900</v>
      </c>
      <c r="P123" s="53">
        <f>'Tax Value Calcs'!H167</f>
        <v>517900</v>
      </c>
      <c r="Q123" s="53">
        <f>'Tax Value Calcs'!J167</f>
        <v>517850</v>
      </c>
    </row>
    <row r="124" ht="13.5" customHeight="1" spans="1:17" s="16" customFormat="1" x14ac:dyDescent="0.25">
      <c r="A124" s="18">
        <f>A125+1</f>
        <v>2019</v>
      </c>
      <c r="B124" s="70">
        <f>'Tax Value Calcs'!D152</f>
        <v>111600</v>
      </c>
      <c r="C124" s="53">
        <f>'Tax Value Calcs'!F152</f>
        <v>71700</v>
      </c>
      <c r="D124" s="53">
        <f>'Tax Value Calcs'!H152</f>
        <v>71700</v>
      </c>
      <c r="E124" s="53">
        <f>'Tax Value Calcs'!J152</f>
        <v>55800</v>
      </c>
      <c r="F124" s="70">
        <f>'Tax Value Calcs'!D199</f>
        <v>194700</v>
      </c>
      <c r="G124" s="53">
        <f>'Tax Value Calcs'!F199</f>
        <v>194700</v>
      </c>
      <c r="H124" s="53">
        <f>'Tax Value Calcs'!H199</f>
        <v>194700</v>
      </c>
      <c r="I124" s="53">
        <f>'Tax Value Calcs'!J199</f>
        <v>97350</v>
      </c>
      <c r="J124" s="70">
        <f>'Tax Value Calcs'!D183</f>
        <v>1466300</v>
      </c>
      <c r="K124" s="53">
        <f>'Tax Value Calcs'!F183</f>
        <v>796800</v>
      </c>
      <c r="L124" s="53">
        <f>'Tax Value Calcs'!H183</f>
        <v>796800</v>
      </c>
      <c r="M124" s="53">
        <f>'Tax Value Calcs'!J183</f>
        <v>733150</v>
      </c>
      <c r="N124" s="70">
        <f>'Tax Value Calcs'!D168</f>
        <v>1019900</v>
      </c>
      <c r="O124" s="53">
        <f>'Tax Value Calcs'!F168</f>
        <v>510000</v>
      </c>
      <c r="P124" s="53">
        <f>'Tax Value Calcs'!H168</f>
        <v>510000</v>
      </c>
      <c r="Q124" s="53">
        <f>'Tax Value Calcs'!J168</f>
        <v>509950</v>
      </c>
    </row>
    <row r="125" ht="12.75" customHeight="1" spans="1:17" s="16" customFormat="1" x14ac:dyDescent="0.25">
      <c r="A125" s="18">
        <v>2018</v>
      </c>
      <c r="B125" s="70">
        <f>'Tax Value Calcs'!D153</f>
        <v>109400</v>
      </c>
      <c r="C125" s="53">
        <f>'Tax Value Calcs'!F153</f>
        <v>70300</v>
      </c>
      <c r="D125" s="53">
        <f>'Tax Value Calcs'!H153</f>
        <v>70300</v>
      </c>
      <c r="E125" s="53">
        <f>'Tax Value Calcs'!J153</f>
        <v>54700</v>
      </c>
      <c r="F125" s="70">
        <f>'Tax Value Calcs'!D200</f>
        <v>190900</v>
      </c>
      <c r="G125" s="53">
        <f>'Tax Value Calcs'!F200</f>
        <v>190900</v>
      </c>
      <c r="H125" s="53">
        <f>'Tax Value Calcs'!H200</f>
        <v>190900</v>
      </c>
      <c r="I125" s="53">
        <f>'Tax Value Calcs'!J200</f>
        <v>95450</v>
      </c>
      <c r="J125" s="70">
        <f>'Tax Value Calcs'!D184</f>
        <v>1437600</v>
      </c>
      <c r="K125" s="53">
        <f>'Tax Value Calcs'!F184</f>
        <v>781200</v>
      </c>
      <c r="L125" s="53">
        <f>D125/0.25+P125</f>
        <v>781200</v>
      </c>
      <c r="M125" s="53">
        <f>E125/0.25+Q125</f>
        <v>718800</v>
      </c>
      <c r="N125" s="70">
        <f>'Tax Value Calcs'!D169</f>
        <v>1000000</v>
      </c>
      <c r="O125" s="53">
        <f>'Tax Value Calcs'!F169</f>
        <v>500000</v>
      </c>
      <c r="P125" s="53">
        <f>'Tax Value Calcs'!H169</f>
        <v>500000</v>
      </c>
      <c r="Q125" s="53">
        <f>'Tax Value Calcs'!J169</f>
        <v>500000</v>
      </c>
    </row>
    <row r="126" ht="12.75" customHeight="1" spans="1:17" s="16" customFormat="1" x14ac:dyDescent="0.25">
      <c r="A126" s="18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</row>
    <row r="127" ht="12.75" customHeight="1" spans="1:14" x14ac:dyDescent="0.25">
      <c r="A127" s="18"/>
      <c r="B127" s="53"/>
      <c r="C127" s="53"/>
      <c r="D127" s="53"/>
      <c r="E127" s="53"/>
      <c r="F127" s="38"/>
      <c r="G127" s="53"/>
      <c r="H127" s="53"/>
      <c r="I127" s="53"/>
      <c r="J127" s="53"/>
      <c r="K127" s="53"/>
      <c r="L127" s="53"/>
      <c r="M127" s="53"/>
      <c r="N127" s="53"/>
    </row>
    <row r="128" ht="24.75" customHeight="1" spans="1:14" x14ac:dyDescent="0.25">
      <c r="A128" s="39" t="s">
        <v>172</v>
      </c>
      <c r="B128" s="15"/>
      <c r="C128" s="15"/>
      <c r="D128" s="37"/>
      <c r="E128" s="37"/>
      <c r="F128" s="71" t="s">
        <v>169</v>
      </c>
      <c r="J128" s="72" t="s">
        <v>173</v>
      </c>
      <c r="N128" s="72" t="s">
        <v>174</v>
      </c>
    </row>
    <row r="129" ht="15.75" customHeight="1" spans="1:17" x14ac:dyDescent="0.25">
      <c r="A129" s="24" t="s">
        <v>161</v>
      </c>
      <c r="B129" s="40" t="s">
        <v>162</v>
      </c>
      <c r="C129" s="24" t="s">
        <v>36</v>
      </c>
      <c r="D129" s="24" t="s">
        <v>168</v>
      </c>
      <c r="E129" s="24" t="s">
        <v>158</v>
      </c>
      <c r="F129" s="40" t="s">
        <v>162</v>
      </c>
      <c r="G129" s="24" t="s">
        <v>36</v>
      </c>
      <c r="H129" s="24" t="s">
        <v>168</v>
      </c>
      <c r="I129" s="24" t="s">
        <v>158</v>
      </c>
      <c r="J129" s="40" t="s">
        <v>162</v>
      </c>
      <c r="K129" s="24" t="s">
        <v>36</v>
      </c>
      <c r="L129" s="24" t="s">
        <v>168</v>
      </c>
      <c r="M129" s="24" t="s">
        <v>158</v>
      </c>
      <c r="N129" s="40" t="s">
        <v>162</v>
      </c>
      <c r="O129" s="24" t="s">
        <v>36</v>
      </c>
      <c r="P129" s="24" t="s">
        <v>168</v>
      </c>
      <c r="Q129" s="24" t="s">
        <v>158</v>
      </c>
    </row>
    <row r="130" ht="13.5" customHeight="1" spans="1:17" x14ac:dyDescent="0.25">
      <c r="A130" s="27">
        <f>A131+1</f>
        <v>2022</v>
      </c>
      <c r="B130" s="69">
        <f>'Tax Value Calcs'!O149</f>
        <v>92600</v>
      </c>
      <c r="C130" s="51">
        <f>'Tax Value Calcs'!Q149</f>
        <v>59500</v>
      </c>
      <c r="D130" s="51">
        <f>'Tax Value Calcs'!S149</f>
        <v>59500</v>
      </c>
      <c r="E130" s="51">
        <f>'Tax Value Calcs'!U149</f>
        <v>46300</v>
      </c>
      <c r="F130" s="69">
        <f>'Tax Value Calcs'!D196</f>
        <v>205900</v>
      </c>
      <c r="G130" s="51">
        <f>'Tax Value Calcs'!F196</f>
        <v>205900</v>
      </c>
      <c r="H130" s="51">
        <f>'Tax Value Calcs'!H196</f>
        <v>205900</v>
      </c>
      <c r="I130" s="51">
        <f>'Tax Value Calcs'!J196</f>
        <v>102950</v>
      </c>
      <c r="J130" s="69">
        <f>'Tax Value Calcs'!O180</f>
        <v>546900</v>
      </c>
      <c r="K130" s="51">
        <f>'Tax Value Calcs'!Q180</f>
        <v>370300</v>
      </c>
      <c r="L130" s="51">
        <f>'Tax Value Calcs'!S180</f>
        <v>370300</v>
      </c>
      <c r="M130" s="51">
        <f>'Tax Value Calcs'!U180</f>
        <v>273450</v>
      </c>
      <c r="N130" s="69">
        <f>'Tax Value Calcs'!O165</f>
        <v>176500</v>
      </c>
      <c r="O130" s="51">
        <f>'Tax Value Calcs'!Q165</f>
        <v>132300</v>
      </c>
      <c r="P130" s="51">
        <f>'Tax Value Calcs'!S165</f>
        <v>132300</v>
      </c>
      <c r="Q130" s="51">
        <f>'Tax Value Calcs'!U165</f>
        <v>88250</v>
      </c>
    </row>
    <row r="131" ht="12.75" customHeight="1" spans="1:17" s="73" customFormat="1" x14ac:dyDescent="0.25">
      <c r="A131" s="47">
        <f>A132+1</f>
        <v>2021</v>
      </c>
      <c r="B131" s="74">
        <f>'Tax Value Calcs'!O150</f>
        <v>89900</v>
      </c>
      <c r="C131" s="52">
        <f>'Tax Value Calcs'!Q150</f>
        <v>57800</v>
      </c>
      <c r="D131" s="52">
        <f>'Tax Value Calcs'!S150</f>
        <v>57800</v>
      </c>
      <c r="E131" s="52">
        <f>'Tax Value Calcs'!U150</f>
        <v>44950</v>
      </c>
      <c r="F131" s="74">
        <f>'Tax Value Calcs'!D197</f>
        <v>199900</v>
      </c>
      <c r="G131" s="52">
        <f>'Tax Value Calcs'!F197</f>
        <v>199900</v>
      </c>
      <c r="H131" s="52">
        <f>'Tax Value Calcs'!H197</f>
        <v>199900</v>
      </c>
      <c r="I131" s="52">
        <f>'Tax Value Calcs'!J197</f>
        <v>99950</v>
      </c>
      <c r="J131" s="74">
        <f>'Tax Value Calcs'!O181</f>
        <v>530900</v>
      </c>
      <c r="K131" s="52">
        <f>'Tax Value Calcs'!Q181</f>
        <v>359700</v>
      </c>
      <c r="L131" s="52">
        <f>'Tax Value Calcs'!S181</f>
        <v>359700</v>
      </c>
      <c r="M131" s="52">
        <f>'Tax Value Calcs'!U181</f>
        <v>265450</v>
      </c>
      <c r="N131" s="74">
        <f>'Tax Value Calcs'!O166</f>
        <v>171300</v>
      </c>
      <c r="O131" s="52">
        <f>'Tax Value Calcs'!Q166</f>
        <v>128500</v>
      </c>
      <c r="P131" s="52">
        <f>'Tax Value Calcs'!S166</f>
        <v>128500</v>
      </c>
      <c r="Q131" s="52">
        <f>'Tax Value Calcs'!U166</f>
        <v>85650</v>
      </c>
    </row>
    <row r="132" ht="13.5" customHeight="1" spans="1:17" x14ac:dyDescent="0.25">
      <c r="A132" s="47">
        <f>A133+1</f>
        <v>2020</v>
      </c>
      <c r="B132" s="74">
        <f>'Tax Value Calcs'!O151</f>
        <v>89000</v>
      </c>
      <c r="C132" s="52">
        <f>'Tax Value Calcs'!Q151</f>
        <v>57200</v>
      </c>
      <c r="D132" s="52">
        <f>'Tax Value Calcs'!S151</f>
        <v>57200</v>
      </c>
      <c r="E132" s="52">
        <f>'Tax Value Calcs'!U151</f>
        <v>44500</v>
      </c>
      <c r="F132" s="74">
        <f>'Tax Value Calcs'!D198</f>
        <v>197700</v>
      </c>
      <c r="G132" s="52">
        <f>'Tax Value Calcs'!F198</f>
        <v>197700</v>
      </c>
      <c r="H132" s="52">
        <f>'Tax Value Calcs'!H198</f>
        <v>197700</v>
      </c>
      <c r="I132" s="52">
        <f>'Tax Value Calcs'!J198</f>
        <v>98850</v>
      </c>
      <c r="J132" s="74">
        <f>'Tax Value Calcs'!O182</f>
        <v>525400</v>
      </c>
      <c r="K132" s="52">
        <f>'Tax Value Calcs'!Q182</f>
        <v>355900</v>
      </c>
      <c r="L132" s="52">
        <f>'Tax Value Calcs'!S182</f>
        <v>355900</v>
      </c>
      <c r="M132" s="52">
        <f>'Tax Value Calcs'!U182</f>
        <v>262700</v>
      </c>
      <c r="N132" s="74">
        <f>'Tax Value Calcs'!O167</f>
        <v>169400</v>
      </c>
      <c r="O132" s="52">
        <f>'Tax Value Calcs'!Q167</f>
        <v>127100</v>
      </c>
      <c r="P132" s="52">
        <f>'Tax Value Calcs'!S167</f>
        <v>127100</v>
      </c>
      <c r="Q132" s="52">
        <f>'Tax Value Calcs'!U167</f>
        <v>84700</v>
      </c>
    </row>
    <row r="133" ht="13.5" customHeight="1" spans="1:17" x14ac:dyDescent="0.25">
      <c r="A133" s="47">
        <f>A134+1</f>
        <v>2019</v>
      </c>
      <c r="B133" s="74">
        <f>'Tax Value Calcs'!O152</f>
        <v>87600</v>
      </c>
      <c r="C133" s="52">
        <f>'Tax Value Calcs'!Q152</f>
        <v>56300</v>
      </c>
      <c r="D133" s="52">
        <f>'Tax Value Calcs'!S152</f>
        <v>56300</v>
      </c>
      <c r="E133" s="52">
        <f>'Tax Value Calcs'!U152</f>
        <v>43800</v>
      </c>
      <c r="F133" s="74">
        <f>'Tax Value Calcs'!D199</f>
        <v>194700</v>
      </c>
      <c r="G133" s="52">
        <f>'Tax Value Calcs'!F199</f>
        <v>194700</v>
      </c>
      <c r="H133" s="52">
        <f>'Tax Value Calcs'!H199</f>
        <v>194700</v>
      </c>
      <c r="I133" s="52">
        <f>'Tax Value Calcs'!J199</f>
        <v>97350</v>
      </c>
      <c r="J133" s="74">
        <f>'Tax Value Calcs'!O183</f>
        <v>517300</v>
      </c>
      <c r="K133" s="52">
        <f>'Tax Value Calcs'!Q183</f>
        <v>350300</v>
      </c>
      <c r="L133" s="52">
        <f>'Tax Value Calcs'!S183</f>
        <v>350300</v>
      </c>
      <c r="M133" s="52">
        <f>'Tax Value Calcs'!U183</f>
        <v>258650</v>
      </c>
      <c r="N133" s="74">
        <f>'Tax Value Calcs'!O168</f>
        <v>166900</v>
      </c>
      <c r="O133" s="52">
        <f>'Tax Value Calcs'!Q168</f>
        <v>125100</v>
      </c>
      <c r="P133" s="52">
        <f>'Tax Value Calcs'!S168</f>
        <v>125100</v>
      </c>
      <c r="Q133" s="52">
        <f>'Tax Value Calcs'!U168</f>
        <v>83450</v>
      </c>
    </row>
    <row r="134" ht="12.75" customHeight="1" spans="1:17" s="16" customFormat="1" x14ac:dyDescent="0.25">
      <c r="A134" s="47">
        <f>A135+1</f>
        <v>2018</v>
      </c>
      <c r="B134" s="74">
        <f>'Tax Value Calcs'!O153</f>
        <v>85900</v>
      </c>
      <c r="C134" s="52">
        <f>'Tax Value Calcs'!Q153</f>
        <v>55200</v>
      </c>
      <c r="D134" s="52">
        <f>'Tax Value Calcs'!S153</f>
        <v>55200</v>
      </c>
      <c r="E134" s="52">
        <f>'Tax Value Calcs'!U153</f>
        <v>42950</v>
      </c>
      <c r="F134" s="74">
        <f>'Tax Value Calcs'!D200</f>
        <v>190900</v>
      </c>
      <c r="G134" s="52">
        <f>'Tax Value Calcs'!F200</f>
        <v>190900</v>
      </c>
      <c r="H134" s="52">
        <f>'Tax Value Calcs'!H200</f>
        <v>190900</v>
      </c>
      <c r="I134" s="52">
        <f>'Tax Value Calcs'!J200</f>
        <v>95450</v>
      </c>
      <c r="J134" s="74">
        <f>'Tax Value Calcs'!O184</f>
        <v>507200</v>
      </c>
      <c r="K134" s="52">
        <f>'Tax Value Calcs'!Q184</f>
        <v>343500</v>
      </c>
      <c r="L134" s="52">
        <f>'Tax Value Calcs'!S184</f>
        <v>343500</v>
      </c>
      <c r="M134" s="52">
        <f>'Tax Value Calcs'!U184</f>
        <v>253600</v>
      </c>
      <c r="N134" s="74">
        <f>'Tax Value Calcs'!O169</f>
        <v>163600</v>
      </c>
      <c r="O134" s="52">
        <f>'Tax Value Calcs'!Q169</f>
        <v>122700</v>
      </c>
      <c r="P134" s="52">
        <f>'Tax Value Calcs'!S169</f>
        <v>122700</v>
      </c>
      <c r="Q134" s="52">
        <f>'Tax Value Calcs'!U169</f>
        <v>81800</v>
      </c>
    </row>
    <row r="135" ht="12.75" customHeight="1" spans="1:17" x14ac:dyDescent="0.25">
      <c r="A135" s="18">
        <f>A136+1</f>
        <v>2017</v>
      </c>
      <c r="B135" s="70">
        <f>'Tax Value Calcs'!O154</f>
        <v>84500</v>
      </c>
      <c r="C135" s="53">
        <f>'Tax Value Calcs'!Q154</f>
        <v>54300</v>
      </c>
      <c r="D135" s="53">
        <f>'Tax Value Calcs'!S154</f>
        <v>54300</v>
      </c>
      <c r="E135" s="53">
        <f>'Tax Value Calcs'!U154</f>
        <v>42250</v>
      </c>
      <c r="F135" s="70">
        <f>'Tax Value Calcs'!D201</f>
        <v>187800</v>
      </c>
      <c r="G135" s="53">
        <f>'Tax Value Calcs'!F201</f>
        <v>187800</v>
      </c>
      <c r="H135" s="53">
        <f>'Tax Value Calcs'!H201</f>
        <v>187800</v>
      </c>
      <c r="I135" s="53">
        <f>'Tax Value Calcs'!J201</f>
        <v>93900</v>
      </c>
      <c r="J135" s="70">
        <f>'Tax Value Calcs'!O185</f>
        <v>498900</v>
      </c>
      <c r="K135" s="53">
        <f>'Tax Value Calcs'!Q185</f>
        <v>337900</v>
      </c>
      <c r="L135" s="53">
        <f>'Tax Value Calcs'!S185</f>
        <v>337900</v>
      </c>
      <c r="M135" s="53">
        <f>'Tax Value Calcs'!U185</f>
        <v>249450</v>
      </c>
      <c r="N135" s="70">
        <f>'Tax Value Calcs'!O170</f>
        <v>160900</v>
      </c>
      <c r="O135" s="53">
        <f>'Tax Value Calcs'!Q170</f>
        <v>120700</v>
      </c>
      <c r="P135" s="53">
        <f>'Tax Value Calcs'!S170</f>
        <v>120700</v>
      </c>
      <c r="Q135" s="53">
        <f>'Tax Value Calcs'!U170</f>
        <v>80450</v>
      </c>
    </row>
    <row r="136" ht="12" customHeight="1" spans="1:17" s="16" customFormat="1" x14ac:dyDescent="0.25">
      <c r="A136" s="18">
        <f>A137+1</f>
        <v>2016</v>
      </c>
      <c r="B136" s="70">
        <f>'Tax Value Calcs'!O155</f>
        <v>83800</v>
      </c>
      <c r="C136" s="53">
        <f>'Tax Value Calcs'!Q155</f>
        <v>53900</v>
      </c>
      <c r="D136" s="53">
        <f>'Tax Value Calcs'!S155</f>
        <v>53900</v>
      </c>
      <c r="E136" s="53">
        <f>'Tax Value Calcs'!U155</f>
        <v>41900</v>
      </c>
      <c r="F136" s="70">
        <f>'Tax Value Calcs'!D202</f>
        <v>186300</v>
      </c>
      <c r="G136" s="53">
        <f>'Tax Value Calcs'!F202</f>
        <v>186300</v>
      </c>
      <c r="H136" s="53">
        <f>'Tax Value Calcs'!H202</f>
        <v>186300</v>
      </c>
      <c r="I136" s="53">
        <f>'Tax Value Calcs'!J202</f>
        <v>93150</v>
      </c>
      <c r="J136" s="70">
        <f>'Tax Value Calcs'!O186</f>
        <v>494900</v>
      </c>
      <c r="K136" s="53">
        <f>'Tax Value Calcs'!Q186</f>
        <v>335300</v>
      </c>
      <c r="L136" s="53">
        <f>'Tax Value Calcs'!S186</f>
        <v>335300</v>
      </c>
      <c r="M136" s="53">
        <f>'Tax Value Calcs'!U186</f>
        <v>247450</v>
      </c>
      <c r="N136" s="70">
        <f>'Tax Value Calcs'!O171</f>
        <v>159700</v>
      </c>
      <c r="O136" s="53">
        <f>'Tax Value Calcs'!Q171</f>
        <v>119700</v>
      </c>
      <c r="P136" s="53">
        <f>'Tax Value Calcs'!S171</f>
        <v>119700</v>
      </c>
      <c r="Q136" s="53">
        <f>'Tax Value Calcs'!U171</f>
        <v>79850</v>
      </c>
    </row>
    <row r="137" ht="12.75" customHeight="1" spans="1:17" x14ac:dyDescent="0.25">
      <c r="A137" s="18">
        <f>A138+1</f>
        <v>2015</v>
      </c>
      <c r="B137" s="70">
        <f>'Tax Value Calcs'!O156</f>
        <v>83400</v>
      </c>
      <c r="C137" s="53">
        <f>'Tax Value Calcs'!Q156</f>
        <v>53600</v>
      </c>
      <c r="D137" s="53">
        <f>'Tax Value Calcs'!S156</f>
        <v>53600</v>
      </c>
      <c r="E137" s="53">
        <f>'Tax Value Calcs'!U156</f>
        <v>41700</v>
      </c>
      <c r="F137" s="70">
        <f>'Tax Value Calcs'!D203</f>
        <v>185400</v>
      </c>
      <c r="G137" s="53">
        <f>'Tax Value Calcs'!F203</f>
        <v>185400</v>
      </c>
      <c r="H137" s="53">
        <f>'Tax Value Calcs'!H203</f>
        <v>185400</v>
      </c>
      <c r="I137" s="53">
        <f>'Tax Value Calcs'!J203</f>
        <v>92700</v>
      </c>
      <c r="J137" s="70">
        <f>'Tax Value Calcs'!O187</f>
        <v>492500</v>
      </c>
      <c r="K137" s="53">
        <f>'Tax Value Calcs'!Q187</f>
        <v>333600</v>
      </c>
      <c r="L137" s="53">
        <f>'Tax Value Calcs'!S187</f>
        <v>333600</v>
      </c>
      <c r="M137" s="53">
        <f>'Tax Value Calcs'!U187</f>
        <v>246250</v>
      </c>
      <c r="N137" s="70">
        <f>'Tax Value Calcs'!O172</f>
        <v>158900</v>
      </c>
      <c r="O137" s="53">
        <f>'Tax Value Calcs'!Q172</f>
        <v>119200</v>
      </c>
      <c r="P137" s="53">
        <f>'Tax Value Calcs'!S172</f>
        <v>119200</v>
      </c>
      <c r="Q137" s="53">
        <f>'Tax Value Calcs'!U172</f>
        <v>79450</v>
      </c>
    </row>
    <row r="138" ht="12.75" customHeight="1" spans="1:17" s="16" customFormat="1" x14ac:dyDescent="0.25">
      <c r="A138" s="18">
        <f>A139+1</f>
        <v>2014</v>
      </c>
      <c r="B138" s="70">
        <f>'Tax Value Calcs'!O157</f>
        <v>82100</v>
      </c>
      <c r="C138" s="53">
        <f>'Tax Value Calcs'!Q157</f>
        <v>52800</v>
      </c>
      <c r="D138" s="53">
        <f>'Tax Value Calcs'!S157</f>
        <v>52800</v>
      </c>
      <c r="E138" s="53">
        <f>'Tax Value Calcs'!U157</f>
        <v>41050</v>
      </c>
      <c r="F138" s="70">
        <f>'Tax Value Calcs'!D204</f>
        <v>182500</v>
      </c>
      <c r="G138" s="53">
        <f>'Tax Value Calcs'!F204</f>
        <v>182500</v>
      </c>
      <c r="H138" s="53">
        <f>'Tax Value Calcs'!H204</f>
        <v>182500</v>
      </c>
      <c r="I138" s="53">
        <f>'Tax Value Calcs'!J204</f>
        <v>91250</v>
      </c>
      <c r="J138" s="70">
        <f>'Tax Value Calcs'!O188</f>
        <v>484900</v>
      </c>
      <c r="K138" s="53">
        <f>'Tax Value Calcs'!Q188</f>
        <v>328500</v>
      </c>
      <c r="L138" s="53">
        <f>'Tax Value Calcs'!S188</f>
        <v>328500</v>
      </c>
      <c r="M138" s="53">
        <f>'Tax Value Calcs'!U188</f>
        <v>242450</v>
      </c>
      <c r="N138" s="70">
        <f>'Tax Value Calcs'!O173</f>
        <v>156500</v>
      </c>
      <c r="O138" s="53">
        <f>'Tax Value Calcs'!Q173</f>
        <v>117300</v>
      </c>
      <c r="P138" s="53">
        <f>'Tax Value Calcs'!S173</f>
        <v>117300</v>
      </c>
      <c r="Q138" s="53">
        <f>'Tax Value Calcs'!U173</f>
        <v>78250</v>
      </c>
    </row>
    <row r="139" ht="12.75" customHeight="1" spans="1:17" x14ac:dyDescent="0.25">
      <c r="A139" s="18">
        <f>A140+1</f>
        <v>2013</v>
      </c>
      <c r="B139" s="70">
        <f>'Tax Value Calcs'!O158</f>
        <v>80800</v>
      </c>
      <c r="C139" s="53">
        <f>'Tax Value Calcs'!Q158</f>
        <v>51900</v>
      </c>
      <c r="D139" s="53">
        <f>'Tax Value Calcs'!S158</f>
        <v>51900</v>
      </c>
      <c r="E139" s="53">
        <f>'Tax Value Calcs'!U158</f>
        <v>40400</v>
      </c>
      <c r="F139" s="70">
        <f>'Tax Value Calcs'!D205</f>
        <v>179500</v>
      </c>
      <c r="G139" s="53">
        <f>'Tax Value Calcs'!F205</f>
        <v>179500</v>
      </c>
      <c r="H139" s="53">
        <f>'Tax Value Calcs'!H205</f>
        <v>179500</v>
      </c>
      <c r="I139" s="53">
        <f>'Tax Value Calcs'!J205</f>
        <v>89750</v>
      </c>
      <c r="J139" s="70">
        <f>'Tax Value Calcs'!O189</f>
        <v>477100</v>
      </c>
      <c r="K139" s="53">
        <f>'Tax Value Calcs'!Q189</f>
        <v>323000</v>
      </c>
      <c r="L139" s="53">
        <f>'Tax Value Calcs'!S189</f>
        <v>323000</v>
      </c>
      <c r="M139" s="53">
        <f>'Tax Value Calcs'!U189</f>
        <v>238550</v>
      </c>
      <c r="N139" s="70">
        <f>'Tax Value Calcs'!O174</f>
        <v>153900</v>
      </c>
      <c r="O139" s="53">
        <f>'Tax Value Calcs'!Q174</f>
        <v>115400</v>
      </c>
      <c r="P139" s="53">
        <f>'Tax Value Calcs'!S174</f>
        <v>115400</v>
      </c>
      <c r="Q139" s="53">
        <f>'Tax Value Calcs'!U174</f>
        <v>76950</v>
      </c>
    </row>
    <row r="140" ht="12.75" customHeight="1" spans="1:17" x14ac:dyDescent="0.25">
      <c r="A140" s="18">
        <v>2012</v>
      </c>
      <c r="B140" s="70">
        <f>'Tax Value Calcs'!O159</f>
        <v>78750</v>
      </c>
      <c r="C140" s="53">
        <f>'Tax Value Calcs'!Q159</f>
        <v>50600</v>
      </c>
      <c r="D140" s="53">
        <f>'Tax Value Calcs'!S159</f>
        <v>50600</v>
      </c>
      <c r="E140" s="53">
        <f>'Tax Value Calcs'!U159</f>
        <v>39375</v>
      </c>
      <c r="F140" s="70">
        <f>'Tax Value Calcs'!D206</f>
        <v>175000</v>
      </c>
      <c r="G140" s="53">
        <f>'Tax Value Calcs'!F206</f>
        <v>175000</v>
      </c>
      <c r="H140" s="53">
        <f>'Tax Value Calcs'!H206</f>
        <v>175000</v>
      </c>
      <c r="I140" s="53">
        <f>'Tax Value Calcs'!J206</f>
        <v>87500</v>
      </c>
      <c r="J140" s="70">
        <f>'Tax Value Calcs'!O190</f>
        <v>465000</v>
      </c>
      <c r="K140" s="53">
        <f>'Tax Value Calcs'!Q190</f>
        <v>314900</v>
      </c>
      <c r="L140" s="53">
        <f>'Tax Value Calcs'!S190</f>
        <v>314900</v>
      </c>
      <c r="M140" s="53">
        <f>'Tax Value Calcs'!U190</f>
        <v>232500</v>
      </c>
      <c r="N140" s="70">
        <f>'Tax Value Calcs'!O175</f>
        <v>150000</v>
      </c>
      <c r="O140" s="53">
        <f>'Tax Value Calcs'!Q175</f>
        <v>112500</v>
      </c>
      <c r="P140" s="53">
        <f>'Tax Value Calcs'!S175</f>
        <v>112500</v>
      </c>
      <c r="Q140" s="53">
        <f>'Tax Value Calcs'!U175</f>
        <v>75000</v>
      </c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6"/>
  <sheetViews>
    <sheetView workbookViewId="0" zoomScale="100" zoomScaleNormal="100" view="normal">
      <selection activeCell="H75" sqref="H75"/>
    </sheetView>
  </sheetViews>
  <sheetFormatPr defaultRowHeight="12.75" outlineLevelRow="0" outlineLevelCol="0" x14ac:dyDescent="0" defaultColWidth="9.1640625" customHeight="1"/>
  <cols>
    <col min="1" max="1" width="8.67" style="16" customWidth="1"/>
    <col min="2" max="2" width="15.66" style="16" customWidth="1"/>
    <col min="3" max="12" width="12.33" style="16" customWidth="1"/>
    <col min="13" max="13" width="15.66" style="16" customWidth="1"/>
    <col min="14" max="21" width="12.33" style="16" customWidth="1"/>
    <col min="22" max="16384" width="9.16" style="16" customWidth="1"/>
  </cols>
  <sheetData>
    <row r="1" ht="18" customHeight="1" spans="1:1" x14ac:dyDescent="0.25">
      <c r="A1" s="14" t="s">
        <v>175</v>
      </c>
    </row>
    <row r="2" ht="12.75" customHeight="1" spans="1:1" x14ac:dyDescent="0.25">
      <c r="A2" s="16" t="s">
        <v>176</v>
      </c>
    </row>
    <row r="4" ht="12.75" customHeight="1" spans="1:1" x14ac:dyDescent="0.25">
      <c r="A4" s="20" t="s">
        <v>177</v>
      </c>
    </row>
    <row r="5" ht="12.75" customHeight="1" spans="1:2" x14ac:dyDescent="0.25">
      <c r="A5" s="75" t="s">
        <v>178</v>
      </c>
      <c r="B5" s="20" t="s">
        <v>179</v>
      </c>
    </row>
    <row r="6" ht="12.75" customHeight="1" spans="1:2" x14ac:dyDescent="0.25">
      <c r="A6" s="76" t="s">
        <v>180</v>
      </c>
      <c r="B6" s="20" t="s">
        <v>181</v>
      </c>
    </row>
    <row r="7" ht="12.75" customHeight="1" spans="1:2" x14ac:dyDescent="0.25">
      <c r="A7" s="76"/>
      <c r="B7" s="20"/>
    </row>
    <row r="8" ht="12.75" customHeight="1" spans="1:2" x14ac:dyDescent="0.25">
      <c r="A8" s="76"/>
      <c r="B8" s="20"/>
    </row>
    <row r="9" ht="15" customHeight="1" spans="1:4" x14ac:dyDescent="0.25">
      <c r="A9" s="39" t="s">
        <v>182</v>
      </c>
      <c r="B9" s="15"/>
      <c r="C9" s="37"/>
      <c r="D9" s="38"/>
    </row>
    <row r="10" ht="15.75" customHeight="1" spans="1:4" x14ac:dyDescent="0.25">
      <c r="A10" s="24" t="s">
        <v>161</v>
      </c>
      <c r="B10" s="24" t="s">
        <v>183</v>
      </c>
      <c r="C10" s="37"/>
      <c r="D10" s="38"/>
    </row>
    <row r="11" ht="13.5" customHeight="1" spans="1:4" x14ac:dyDescent="0.25">
      <c r="A11" s="27">
        <f>A12+1</f>
        <v>2022</v>
      </c>
      <c r="B11" s="77">
        <f>'CPI-U &amp; C-CPI-U Calcs'!G14</f>
        <v>1.09641696018668</v>
      </c>
      <c r="C11" s="37"/>
      <c r="D11" s="38"/>
    </row>
    <row r="12" ht="12.75" customHeight="1" spans="1:4" x14ac:dyDescent="0.25">
      <c r="A12" s="47">
        <f>A13+1</f>
        <v>2021</v>
      </c>
      <c r="B12" s="78">
        <f>'CPI-U &amp; C-CPI-U Calcs'!G15</f>
        <v>1.06448248561813</v>
      </c>
      <c r="C12" s="37"/>
      <c r="D12" s="38"/>
    </row>
    <row r="13" ht="12.75" customHeight="1" spans="1:4" x14ac:dyDescent="0.25">
      <c r="A13" s="47">
        <f>A14+1</f>
        <v>2020</v>
      </c>
      <c r="B13" s="78">
        <f>'CPI-U &amp; C-CPI-U Calcs'!G16</f>
        <v>1.0528385039426</v>
      </c>
      <c r="C13" s="37"/>
      <c r="D13" s="38"/>
    </row>
    <row r="14" ht="12.75" customHeight="1" spans="1:4" x14ac:dyDescent="0.25">
      <c r="A14" s="47">
        <f>A15+1</f>
        <v>2019</v>
      </c>
      <c r="B14" s="78">
        <f>'CPI-U &amp; C-CPI-U Calcs'!G17</f>
        <v>1.0367586321845</v>
      </c>
      <c r="C14" s="37"/>
      <c r="D14" s="38"/>
    </row>
    <row r="15" ht="12.75" customHeight="1" spans="1:4" x14ac:dyDescent="0.25">
      <c r="A15" s="47">
        <f>A16+1</f>
        <v>2018</v>
      </c>
      <c r="B15" s="78">
        <f>'CPI-U &amp; C-CPI-U Calcs'!G18</f>
        <v>1.01649901097851</v>
      </c>
      <c r="C15" s="37"/>
      <c r="D15" s="38"/>
    </row>
    <row r="16" ht="12.75" customHeight="1" spans="1:4" x14ac:dyDescent="0.25">
      <c r="A16" s="18">
        <v>2017</v>
      </c>
      <c r="B16" s="79">
        <f>'CPI-U &amp; C-CPI-U Calcs'!G19</f>
        <v>1</v>
      </c>
      <c r="C16" s="37"/>
      <c r="D16" s="38"/>
    </row>
    <row r="17" ht="12.75" customHeight="1" spans="1:4" x14ac:dyDescent="0.25">
      <c r="A17" s="18"/>
      <c r="B17" s="45"/>
      <c r="C17" s="37"/>
      <c r="D17" s="38"/>
    </row>
    <row r="19" ht="24.75" customHeight="1" spans="1:10" x14ac:dyDescent="0.25">
      <c r="A19" s="80" t="s">
        <v>184</v>
      </c>
      <c r="B19" s="81"/>
      <c r="C19" s="81"/>
      <c r="D19" s="81"/>
      <c r="E19" s="81"/>
      <c r="F19" s="81"/>
      <c r="G19" s="81"/>
      <c r="H19" s="81"/>
      <c r="I19" s="81"/>
      <c r="J19" s="81"/>
    </row>
    <row r="20" ht="30" customHeight="1" spans="1:14" x14ac:dyDescent="0.25">
      <c r="A20" s="24" t="s">
        <v>6</v>
      </c>
      <c r="B20" s="24" t="s">
        <v>185</v>
      </c>
      <c r="C20" s="40" t="s">
        <v>186</v>
      </c>
      <c r="D20" s="24" t="s">
        <v>187</v>
      </c>
      <c r="E20" s="24" t="s">
        <v>36</v>
      </c>
      <c r="F20" s="24" t="s">
        <v>188</v>
      </c>
      <c r="G20" s="24" t="s">
        <v>37</v>
      </c>
      <c r="H20" s="24" t="s">
        <v>189</v>
      </c>
      <c r="I20" s="24" t="s">
        <v>158</v>
      </c>
      <c r="J20" s="24" t="s">
        <v>190</v>
      </c>
      <c r="K20" s="55"/>
      <c r="L20" s="55"/>
      <c r="M20" s="55"/>
      <c r="N20" s="55"/>
    </row>
    <row r="21" ht="13.5" customHeight="1" spans="1:14" x14ac:dyDescent="0.25">
      <c r="A21" s="27">
        <f>A22+1</f>
        <v>2022</v>
      </c>
      <c r="B21" s="77">
        <f>'CPI-U &amp; C-CPI-U Calcs'!$F14</f>
        <v>1.07862078402933</v>
      </c>
      <c r="C21" s="41">
        <f>E21*2</f>
        <v>25886.898816704</v>
      </c>
      <c r="D21" s="42">
        <f>+TRUNC(C21/100)*100</f>
        <v>25800</v>
      </c>
      <c r="E21" s="42">
        <f>E$25*$B21</f>
        <v>12943.449408352</v>
      </c>
      <c r="F21" s="42">
        <f>+TRUNC(E21/50)*50</f>
        <v>12900</v>
      </c>
      <c r="G21" s="42">
        <f>G$25*$B21</f>
        <v>19415.174112528</v>
      </c>
      <c r="H21" s="42">
        <f>+TRUNC(G21/50)*50</f>
        <v>19400</v>
      </c>
      <c r="I21" s="42">
        <f>I$25*$B21</f>
        <v>12943.449408352</v>
      </c>
      <c r="J21" s="42">
        <f>+TRUNC(I21/50)*50</f>
        <v>12900</v>
      </c>
      <c r="K21" s="55"/>
      <c r="L21" s="55"/>
      <c r="M21" s="55"/>
      <c r="N21" s="55"/>
    </row>
    <row r="22" ht="12.75" customHeight="1" spans="1:14" x14ac:dyDescent="0.25">
      <c r="A22" s="18">
        <f>A23+1</f>
        <v>2021</v>
      </c>
      <c r="B22" s="79">
        <f>'CPI-U &amp; C-CPI-U Calcs'!$F15</f>
        <v>1.04720464468867</v>
      </c>
      <c r="C22" s="44">
        <f>E22*2</f>
        <v>25132.9114725281</v>
      </c>
      <c r="D22" s="45">
        <f>+TRUNC(C22/100)*100</f>
        <v>25100</v>
      </c>
      <c r="E22" s="45">
        <f>E$25*$B22</f>
        <v>12566.4557362641</v>
      </c>
      <c r="F22" s="45">
        <f>+TRUNC(E22/50)*50</f>
        <v>12550</v>
      </c>
      <c r="G22" s="45">
        <f>G$25*$B22</f>
        <v>18849.6836043961</v>
      </c>
      <c r="H22" s="45">
        <f>+TRUNC(G22/50)*50</f>
        <v>18800</v>
      </c>
      <c r="I22" s="45">
        <f>I$25*$B22</f>
        <v>12566.4557362641</v>
      </c>
      <c r="J22" s="45">
        <f>+TRUNC(I22/50)*50</f>
        <v>12550</v>
      </c>
      <c r="K22" s="55"/>
      <c r="L22" s="55"/>
      <c r="M22" s="55"/>
      <c r="N22" s="55"/>
    </row>
    <row r="23" ht="12.75" customHeight="1" spans="1:14" x14ac:dyDescent="0.25">
      <c r="A23" s="82">
        <f>A24+1</f>
        <v>2020</v>
      </c>
      <c r="B23" s="83">
        <f>'CPI-U &amp; C-CPI-U Calcs'!$F16</f>
        <v>1.03574965894863</v>
      </c>
      <c r="C23" s="84">
        <f>E23*2</f>
        <v>24857.9918147671</v>
      </c>
      <c r="D23" s="85">
        <f>+TRUNC(C23/100)*100</f>
        <v>24800</v>
      </c>
      <c r="E23" s="85">
        <f>E$25*$B23</f>
        <v>12428.9959073835</v>
      </c>
      <c r="F23" s="85">
        <f>+TRUNC(E23/50)*50</f>
        <v>12400</v>
      </c>
      <c r="G23" s="85">
        <f>G$25*$B23</f>
        <v>18643.4938610753</v>
      </c>
      <c r="H23" s="85">
        <f>+TRUNC(G23/50)*50</f>
        <v>18600</v>
      </c>
      <c r="I23" s="85">
        <f>I$25*$B23</f>
        <v>12428.9959073835</v>
      </c>
      <c r="J23" s="85">
        <f>+TRUNC(I23/50)*50</f>
        <v>12400</v>
      </c>
      <c r="K23" s="55"/>
      <c r="L23" s="55"/>
      <c r="M23" s="55"/>
      <c r="N23" s="55"/>
    </row>
    <row r="24" ht="12.75" customHeight="1" spans="1:14" x14ac:dyDescent="0.25">
      <c r="A24" s="82">
        <f>A25+1</f>
        <v>2019</v>
      </c>
      <c r="B24" s="83">
        <f>'CPI-U &amp; C-CPI-U Calcs'!$F17</f>
        <v>1.01993078299849</v>
      </c>
      <c r="C24" s="84">
        <f>E24*2</f>
        <v>24478.3387919638</v>
      </c>
      <c r="D24" s="85">
        <f>+TRUNC(C24/100)*100</f>
        <v>24400</v>
      </c>
      <c r="E24" s="85">
        <f>E$25*$B24</f>
        <v>12239.1693959819</v>
      </c>
      <c r="F24" s="85">
        <f>+TRUNC(E24/50)*50</f>
        <v>12200</v>
      </c>
      <c r="G24" s="85">
        <f>G$25*$B24</f>
        <v>18358.7540939728</v>
      </c>
      <c r="H24" s="85">
        <f>+TRUNC(G24/50)*50</f>
        <v>18350</v>
      </c>
      <c r="I24" s="85">
        <f>I$25*$B24</f>
        <v>12239.1693959819</v>
      </c>
      <c r="J24" s="85">
        <f>+TRUNC(I24/50)*50</f>
        <v>12200</v>
      </c>
      <c r="K24" s="42"/>
      <c r="L24" s="42"/>
      <c r="M24" s="42"/>
      <c r="N24" s="42"/>
    </row>
    <row r="25" ht="12.75" customHeight="1" spans="1:14" x14ac:dyDescent="0.25">
      <c r="A25" s="18">
        <v>2018</v>
      </c>
      <c r="B25" s="86">
        <f>'CPI-U &amp; C-CPI-U Calcs'!$F18</f>
        <v>1</v>
      </c>
      <c r="C25" s="87">
        <f>E25*2</f>
        <v>24000</v>
      </c>
      <c r="D25" s="88">
        <f>+TRUNC(C25/50)*50</f>
        <v>24000</v>
      </c>
      <c r="E25" s="88">
        <v>12000</v>
      </c>
      <c r="F25" s="88">
        <f>+TRUNC(E25/50)*50</f>
        <v>12000</v>
      </c>
      <c r="G25" s="88">
        <v>18000</v>
      </c>
      <c r="H25" s="88">
        <f>+TRUNC(G25/50)*50</f>
        <v>18000</v>
      </c>
      <c r="I25" s="88">
        <v>12000</v>
      </c>
      <c r="J25" s="88">
        <f>+TRUNC(I25/50)*50</f>
        <v>12000</v>
      </c>
      <c r="K25" s="45"/>
      <c r="L25" s="45"/>
      <c r="M25" s="45"/>
      <c r="N25" s="45"/>
    </row>
    <row r="26" ht="12.75" customHeight="1" spans="1:11" x14ac:dyDescent="0.25">
      <c r="A26" s="15" t="s">
        <v>191</v>
      </c>
      <c r="B26" s="89"/>
      <c r="C26" s="89"/>
      <c r="D26" s="89"/>
      <c r="E26" s="90"/>
      <c r="F26" s="90"/>
      <c r="G26" s="90"/>
      <c r="H26" s="90"/>
      <c r="I26" s="90"/>
      <c r="J26" s="89"/>
      <c r="K26" s="15"/>
    </row>
    <row r="27" ht="12.75" customHeight="1" spans="1:10" x14ac:dyDescent="0.25">
      <c r="A27" s="15" t="s">
        <v>192</v>
      </c>
      <c r="B27" s="89"/>
      <c r="C27" s="89"/>
      <c r="D27" s="89"/>
      <c r="E27" s="90"/>
      <c r="F27" s="90"/>
      <c r="G27" s="90"/>
      <c r="H27" s="90"/>
      <c r="I27" s="90"/>
      <c r="J27" s="89"/>
    </row>
    <row r="28" ht="15" customHeight="1" spans="1:10" x14ac:dyDescent="0.25">
      <c r="A28" s="15" t="s">
        <v>193</v>
      </c>
      <c r="B28" s="89"/>
      <c r="C28" s="89"/>
      <c r="D28" s="89"/>
      <c r="E28" s="90"/>
      <c r="F28" s="90"/>
      <c r="G28" s="90"/>
      <c r="H28" s="90"/>
      <c r="I28" s="90"/>
      <c r="J28" s="89"/>
    </row>
    <row r="29" ht="12.75" customHeight="1" spans="1:10" x14ac:dyDescent="0.25">
      <c r="A29" s="15"/>
      <c r="B29" s="89"/>
      <c r="C29" s="89"/>
      <c r="D29" s="89"/>
      <c r="E29" s="90"/>
      <c r="F29" s="90"/>
      <c r="G29" s="90"/>
      <c r="H29" s="90"/>
      <c r="I29" s="90"/>
      <c r="J29" s="89"/>
    </row>
    <row r="30" ht="12.75" customHeight="1" spans="1:10" x14ac:dyDescent="0.25">
      <c r="A30" s="15"/>
      <c r="B30" s="89"/>
      <c r="C30" s="89"/>
      <c r="D30" s="89"/>
      <c r="E30" s="90"/>
      <c r="F30" s="90"/>
      <c r="G30" s="90"/>
      <c r="H30" s="90"/>
      <c r="I30" s="90"/>
      <c r="J30" s="89"/>
    </row>
    <row r="31" ht="24.75" customHeight="1" spans="1:10" x14ac:dyDescent="0.25">
      <c r="A31" s="91" t="s">
        <v>194</v>
      </c>
      <c r="C31" s="89"/>
      <c r="D31" s="89"/>
      <c r="E31" s="90"/>
      <c r="F31" s="90"/>
      <c r="G31" s="90"/>
      <c r="H31" s="92" t="s">
        <v>195</v>
      </c>
      <c r="I31" s="90"/>
      <c r="J31" s="89"/>
    </row>
    <row r="32" ht="30" customHeight="1" spans="1:15" x14ac:dyDescent="0.25">
      <c r="A32" s="24" t="s">
        <v>6</v>
      </c>
      <c r="B32" s="24" t="s">
        <v>185</v>
      </c>
      <c r="C32" s="40" t="s">
        <v>196</v>
      </c>
      <c r="D32" s="24" t="s">
        <v>197</v>
      </c>
      <c r="E32" s="24" t="s">
        <v>198</v>
      </c>
      <c r="F32" s="24" t="s">
        <v>188</v>
      </c>
      <c r="G32" s="93"/>
      <c r="H32" s="40" t="s">
        <v>199</v>
      </c>
      <c r="I32" s="24" t="s">
        <v>187</v>
      </c>
      <c r="J32" s="24" t="s">
        <v>36</v>
      </c>
      <c r="K32" s="24" t="s">
        <v>188</v>
      </c>
      <c r="L32" s="24" t="s">
        <v>37</v>
      </c>
      <c r="M32" s="24" t="s">
        <v>189</v>
      </c>
      <c r="N32" s="24" t="s">
        <v>158</v>
      </c>
      <c r="O32" s="24" t="s">
        <v>190</v>
      </c>
    </row>
    <row r="33" ht="13.5" customHeight="1" spans="1:15" x14ac:dyDescent="0.25">
      <c r="A33" s="27">
        <f>A34+1</f>
        <v>2022</v>
      </c>
      <c r="B33" s="77">
        <f>'CPI-U &amp; C-CPI-U Calcs'!$S14</f>
        <v>2.33658709151591</v>
      </c>
      <c r="C33" s="41">
        <f>C$67*$B33</f>
        <v>1401.95225490955</v>
      </c>
      <c r="D33" s="42">
        <f>+TRUNC(C33/50)*50</f>
        <v>1400</v>
      </c>
      <c r="E33" s="42">
        <f>E$67*$B33</f>
        <v>1752.44031863693</v>
      </c>
      <c r="F33" s="42">
        <f>+TRUNC(E33/50)*50</f>
        <v>1750</v>
      </c>
      <c r="G33" s="90"/>
      <c r="H33" s="41">
        <f>J33*2</f>
        <v>14019.5225490955</v>
      </c>
      <c r="I33" s="42">
        <f>+TRUNC(H33/100)*100</f>
        <v>14000</v>
      </c>
      <c r="J33" s="42">
        <f>J$67*$B33</f>
        <v>7009.76127454773</v>
      </c>
      <c r="K33" s="42">
        <f>+TRUNC(J33/50)*50</f>
        <v>7000</v>
      </c>
      <c r="L33" s="42">
        <f>L$67*$B33</f>
        <v>10280.98320267</v>
      </c>
      <c r="M33" s="42">
        <f>+TRUNC(L33/50)*50</f>
        <v>10250</v>
      </c>
      <c r="N33" s="42">
        <f>N$67*$B33</f>
        <v>7009.76127454773</v>
      </c>
      <c r="O33" s="42">
        <f>+TRUNC(N33/50)*50</f>
        <v>7000</v>
      </c>
    </row>
    <row r="34" ht="12.75" customHeight="1" spans="1:15" x14ac:dyDescent="0.25">
      <c r="A34" s="18">
        <f>A35+1</f>
        <v>2021</v>
      </c>
      <c r="B34" s="79">
        <f>'CPI-U &amp; C-CPI-U Calcs'!$S15</f>
        <v>2.26853115681156</v>
      </c>
      <c r="C34" s="44">
        <f>C$67*$B34</f>
        <v>1361.11869408694</v>
      </c>
      <c r="D34" s="45">
        <f>+TRUNC(C34/50)*50</f>
        <v>1350</v>
      </c>
      <c r="E34" s="45">
        <f>E$67*$B34</f>
        <v>1701.39836760867</v>
      </c>
      <c r="F34" s="45">
        <f>+TRUNC(E34/50)*50</f>
        <v>1700</v>
      </c>
      <c r="G34" s="90"/>
      <c r="H34" s="44">
        <f>J34*2</f>
        <v>13611.1869408694</v>
      </c>
      <c r="I34" s="45">
        <f>+TRUNC(H34/100)*100</f>
        <v>13600</v>
      </c>
      <c r="J34" s="45">
        <f>J$67*$B34</f>
        <v>6805.59347043469</v>
      </c>
      <c r="K34" s="45">
        <f>+TRUNC(J34/50)*50</f>
        <v>6800</v>
      </c>
      <c r="L34" s="45">
        <f>L$67*$B34</f>
        <v>9981.53708997088</v>
      </c>
      <c r="M34" s="45">
        <f>+TRUNC(L34/50)*50</f>
        <v>9950</v>
      </c>
      <c r="N34" s="45">
        <f>N$67*$B34</f>
        <v>6805.59347043469</v>
      </c>
      <c r="O34" s="45">
        <f>+TRUNC(N34/50)*50</f>
        <v>6800</v>
      </c>
    </row>
    <row r="35" ht="12.75" customHeight="1" spans="1:15" x14ac:dyDescent="0.25">
      <c r="A35" s="18">
        <f>A36+1</f>
        <v>2020</v>
      </c>
      <c r="B35" s="79">
        <f>'CPI-U &amp; C-CPI-U Calcs'!$S16</f>
        <v>2.24371653038308</v>
      </c>
      <c r="C35" s="44">
        <f>C$67*$B35</f>
        <v>1346.22991822985</v>
      </c>
      <c r="D35" s="45">
        <f>+TRUNC(C35/50)*50</f>
        <v>1300</v>
      </c>
      <c r="E35" s="45">
        <f>E$67*$B35</f>
        <v>1682.78739778731</v>
      </c>
      <c r="F35" s="45">
        <f>+TRUNC(E35/50)*50</f>
        <v>1650</v>
      </c>
      <c r="G35" s="90"/>
      <c r="H35" s="48">
        <f>J35*2</f>
        <v>13462.2991822985</v>
      </c>
      <c r="I35" s="49">
        <f>+TRUNC(H35/100)*100</f>
        <v>13400</v>
      </c>
      <c r="J35" s="49">
        <f>J$67*$B35</f>
        <v>6731.14959114924</v>
      </c>
      <c r="K35" s="49">
        <f>+TRUNC(J35/50)*50</f>
        <v>6700</v>
      </c>
      <c r="L35" s="49">
        <f>L$67*$B35</f>
        <v>9872.35273368555</v>
      </c>
      <c r="M35" s="49">
        <f>+TRUNC(L35/50)*50</f>
        <v>9850</v>
      </c>
      <c r="N35" s="49">
        <f>N$67*$B35</f>
        <v>6731.14959114924</v>
      </c>
      <c r="O35" s="49">
        <f>+TRUNC(N35/50)*50</f>
        <v>6700</v>
      </c>
    </row>
    <row r="36" ht="12.75" customHeight="1" spans="1:15" x14ac:dyDescent="0.25">
      <c r="A36" s="18">
        <f>A37+1</f>
        <v>2019</v>
      </c>
      <c r="B36" s="79">
        <f>'CPI-U &amp; C-CPI-U Calcs'!$S17</f>
        <v>2.20944852637772</v>
      </c>
      <c r="C36" s="44">
        <f>C$67*$B36</f>
        <v>1325.66911582663</v>
      </c>
      <c r="D36" s="45">
        <f>+TRUNC(C36/50)*50</f>
        <v>1300</v>
      </c>
      <c r="E36" s="45">
        <f>E$67*$B36</f>
        <v>1657.08639478329</v>
      </c>
      <c r="F36" s="45">
        <f>+TRUNC(E36/50)*50</f>
        <v>1650</v>
      </c>
      <c r="G36" s="90"/>
      <c r="H36" s="48">
        <f>J36*2</f>
        <v>13256.6911582663</v>
      </c>
      <c r="I36" s="49">
        <f>+TRUNC(H36/100)*100</f>
        <v>13200</v>
      </c>
      <c r="J36" s="49">
        <f>J$67*$B36</f>
        <v>6628.34557913317</v>
      </c>
      <c r="K36" s="49">
        <f>+TRUNC(J36/50)*50</f>
        <v>6600</v>
      </c>
      <c r="L36" s="49">
        <f>L$67*$B36</f>
        <v>9721.57351606198</v>
      </c>
      <c r="M36" s="49">
        <f>+TRUNC(L36/50)*50</f>
        <v>9700</v>
      </c>
      <c r="N36" s="49">
        <f>N$67*$B36</f>
        <v>6628.34557913317</v>
      </c>
      <c r="O36" s="49">
        <f>+TRUNC(N36/50)*50</f>
        <v>6600</v>
      </c>
    </row>
    <row r="37" ht="12.75" customHeight="1" spans="1:15" x14ac:dyDescent="0.25">
      <c r="A37" s="18">
        <v>2018</v>
      </c>
      <c r="B37" s="79">
        <f>'CPI-U &amp; C-CPI-U Calcs'!$S18</f>
        <v>2.16627300911751</v>
      </c>
      <c r="C37" s="44">
        <f>C$67*$B37</f>
        <v>1299.76380547051</v>
      </c>
      <c r="D37" s="45">
        <f>+TRUNC(C37/50)*50</f>
        <v>1250</v>
      </c>
      <c r="E37" s="45">
        <f>E$67*$B37</f>
        <v>1624.70475683813</v>
      </c>
      <c r="F37" s="45">
        <f>+TRUNC(E37/50)*50</f>
        <v>1600</v>
      </c>
      <c r="G37" s="90"/>
      <c r="H37" s="48">
        <f>J37*2</f>
        <v>12997.6380547051</v>
      </c>
      <c r="I37" s="49">
        <f>+TRUNC(H37/100)*100</f>
        <v>12900</v>
      </c>
      <c r="J37" s="49">
        <f>J$67*$B37</f>
        <v>6498.81902735254</v>
      </c>
      <c r="K37" s="49">
        <f>+TRUNC(J37/50)*50</f>
        <v>6450</v>
      </c>
      <c r="L37" s="49">
        <f>L$67*$B37</f>
        <v>9531.60124011706</v>
      </c>
      <c r="M37" s="49">
        <f>+TRUNC(L37/50)*50</f>
        <v>9500</v>
      </c>
      <c r="N37" s="49">
        <f>N$67*$B37</f>
        <v>6498.81902735254</v>
      </c>
      <c r="O37" s="49">
        <f>+TRUNC(N37/50)*50</f>
        <v>6450</v>
      </c>
    </row>
    <row r="38" ht="12.75" customHeight="1" spans="1:15" x14ac:dyDescent="0.25">
      <c r="A38" s="18">
        <f>A39+1</f>
        <v>2017</v>
      </c>
      <c r="B38" s="79">
        <f>'CPI-U &amp; C-CPI-U Calcs'!$S19</f>
        <v>2.13111177258521</v>
      </c>
      <c r="C38" s="44">
        <f>C$67*$B38</f>
        <v>1278.66706355112</v>
      </c>
      <c r="D38" s="45">
        <f>+TRUNC(C38/50)*50</f>
        <v>1250</v>
      </c>
      <c r="E38" s="45">
        <f>E$67*$B38</f>
        <v>1598.3338294389</v>
      </c>
      <c r="F38" s="45">
        <f>+TRUNC(E38/50)*50</f>
        <v>1550</v>
      </c>
      <c r="G38" s="90"/>
      <c r="H38" s="44">
        <f>J38*2</f>
        <v>12786.6706355112</v>
      </c>
      <c r="I38" s="45">
        <f>+TRUNC(H38/100)*100</f>
        <v>12700</v>
      </c>
      <c r="J38" s="45">
        <f>J$67*$B38</f>
        <v>6393.33531775562</v>
      </c>
      <c r="K38" s="45">
        <f>+TRUNC(J38/50)*50</f>
        <v>6350</v>
      </c>
      <c r="L38" s="45">
        <f>L$67*$B38</f>
        <v>9376.89179937491</v>
      </c>
      <c r="M38" s="45">
        <f>+TRUNC(L38/50)*50</f>
        <v>9350</v>
      </c>
      <c r="N38" s="45">
        <f>N$67*$B38</f>
        <v>6393.33531775562</v>
      </c>
      <c r="O38" s="45">
        <f>+TRUNC(N38/50)*50</f>
        <v>6350</v>
      </c>
    </row>
    <row r="39" ht="12.75" customHeight="1" spans="1:15" x14ac:dyDescent="0.25">
      <c r="A39" s="18">
        <f>A40+1</f>
        <v>2016</v>
      </c>
      <c r="B39" s="79">
        <f>'CPI-U &amp; C-CPI-U Calcs'!$S20</f>
        <v>2.11414421788957</v>
      </c>
      <c r="C39" s="44">
        <f>C$67*$B39</f>
        <v>1268.48653073374</v>
      </c>
      <c r="D39" s="45">
        <f>+TRUNC(C39/50)*50</f>
        <v>1250</v>
      </c>
      <c r="E39" s="45">
        <f>E$67*$B39</f>
        <v>1585.60816341718</v>
      </c>
      <c r="F39" s="45">
        <f>+TRUNC(E39/50)*50</f>
        <v>1550</v>
      </c>
      <c r="G39" s="90"/>
      <c r="H39" s="44">
        <f>J39*2</f>
        <v>12684.8653073374</v>
      </c>
      <c r="I39" s="45">
        <f>+TRUNC(H39/100)*100</f>
        <v>12600</v>
      </c>
      <c r="J39" s="45">
        <f>J$67*$B39</f>
        <v>6342.4326536687</v>
      </c>
      <c r="K39" s="45">
        <f>+TRUNC(J39/50)*50</f>
        <v>6300</v>
      </c>
      <c r="L39" s="45">
        <f>L$67*$B39</f>
        <v>9302.23455871409</v>
      </c>
      <c r="M39" s="45">
        <f>+TRUNC(L39/50)*50</f>
        <v>9300</v>
      </c>
      <c r="N39" s="45">
        <f>N$67*$B39</f>
        <v>6342.4326536687</v>
      </c>
      <c r="O39" s="45">
        <f>+TRUNC(N39/50)*50</f>
        <v>6300</v>
      </c>
    </row>
    <row r="40" ht="12.75" customHeight="1" spans="1:15" x14ac:dyDescent="0.25">
      <c r="A40" s="18">
        <f>A41+1</f>
        <v>2015</v>
      </c>
      <c r="B40" s="79">
        <f>'CPI-U &amp; C-CPI-U Calcs'!$S21</f>
        <v>2.10464354814705</v>
      </c>
      <c r="C40" s="44">
        <f>C$67*$B40</f>
        <v>1262.78612888823</v>
      </c>
      <c r="D40" s="45">
        <f>+TRUNC(C40/50)*50</f>
        <v>1250</v>
      </c>
      <c r="E40" s="45">
        <f>E$67*$B40</f>
        <v>1578.48266111028</v>
      </c>
      <c r="F40" s="45">
        <f>+TRUNC(E40/50)*50</f>
        <v>1550</v>
      </c>
      <c r="G40" s="90"/>
      <c r="H40" s="44">
        <f>J40*2</f>
        <v>12627.8612888823</v>
      </c>
      <c r="I40" s="45">
        <f>+TRUNC(H40/100)*100</f>
        <v>12600</v>
      </c>
      <c r="J40" s="45">
        <f>J$67*$B40</f>
        <v>6313.93064444114</v>
      </c>
      <c r="K40" s="45">
        <f>+TRUNC(J40/50)*50</f>
        <v>6300</v>
      </c>
      <c r="L40" s="45">
        <f>L$67*$B40</f>
        <v>9260.431611847</v>
      </c>
      <c r="M40" s="45">
        <f>+TRUNC(L40/50)*50</f>
        <v>9250</v>
      </c>
      <c r="N40" s="45">
        <f>N$67*$B40</f>
        <v>6313.93064444114</v>
      </c>
      <c r="O40" s="45">
        <f>+TRUNC(N40/50)*50</f>
        <v>6300</v>
      </c>
    </row>
    <row r="41" ht="12.75" customHeight="1" spans="1:15" x14ac:dyDescent="0.25">
      <c r="A41" s="18">
        <f>A42+1</f>
        <v>2014</v>
      </c>
      <c r="B41" s="79">
        <f>'CPI-U &amp; C-CPI-U Calcs'!$S22</f>
        <v>2.0718990921268</v>
      </c>
      <c r="C41" s="44">
        <f>C$67*$B41</f>
        <v>1243.13945527608</v>
      </c>
      <c r="D41" s="45">
        <f>+TRUNC(C41/50)*50</f>
        <v>1200</v>
      </c>
      <c r="E41" s="45">
        <f>E$67*$B41</f>
        <v>1553.9243190951</v>
      </c>
      <c r="F41" s="45">
        <f>+TRUNC(E41/50)*50</f>
        <v>1550</v>
      </c>
      <c r="G41" s="90"/>
      <c r="H41" s="44">
        <f>J41*2</f>
        <v>12431.3945527608</v>
      </c>
      <c r="I41" s="45">
        <f>+TRUNC(H41/100)*100</f>
        <v>12400</v>
      </c>
      <c r="J41" s="45">
        <f>J$67*$B41</f>
        <v>6215.69727638041</v>
      </c>
      <c r="K41" s="45">
        <f>+TRUNC(J41/50)*50</f>
        <v>6200</v>
      </c>
      <c r="L41" s="45">
        <f>L$67*$B41</f>
        <v>9116.35600535794</v>
      </c>
      <c r="M41" s="45">
        <f>+TRUNC(L41/50)*50</f>
        <v>9100</v>
      </c>
      <c r="N41" s="45">
        <f>N$67*$B41</f>
        <v>6215.69727638041</v>
      </c>
      <c r="O41" s="45">
        <f>+TRUNC(N41/50)*50</f>
        <v>6200</v>
      </c>
    </row>
    <row r="42" ht="12.75" customHeight="1" spans="1:15" x14ac:dyDescent="0.25">
      <c r="A42" s="18">
        <f>A43+1</f>
        <v>2013</v>
      </c>
      <c r="B42" s="79">
        <f>'CPI-U &amp; C-CPI-U Calcs'!$S23</f>
        <v>2.0373515404078</v>
      </c>
      <c r="C42" s="44">
        <f>C$67*$B42</f>
        <v>1222.41092424468</v>
      </c>
      <c r="D42" s="45">
        <f>+TRUNC(C42/50)*50</f>
        <v>1200</v>
      </c>
      <c r="E42" s="45">
        <f>E$67*$B42</f>
        <v>1528.01365530585</v>
      </c>
      <c r="F42" s="45">
        <f>+TRUNC(E42/50)*50</f>
        <v>1500</v>
      </c>
      <c r="G42" s="90"/>
      <c r="H42" s="44">
        <f>J42*2</f>
        <v>12224.1092424468</v>
      </c>
      <c r="I42" s="45">
        <f>+TRUNC(H42/100)*100</f>
        <v>12200</v>
      </c>
      <c r="J42" s="45">
        <f>J$67*$B42</f>
        <v>6112.0546212234</v>
      </c>
      <c r="K42" s="45">
        <f>+TRUNC(J42/50)*50</f>
        <v>6100</v>
      </c>
      <c r="L42" s="45">
        <f>L$67*$B42</f>
        <v>8964.34677779431</v>
      </c>
      <c r="M42" s="45">
        <f>+TRUNC(L42/50)*50</f>
        <v>8950</v>
      </c>
      <c r="N42" s="45">
        <f>N$67*$B42</f>
        <v>6112.0546212234</v>
      </c>
      <c r="O42" s="45">
        <f>+TRUNC(N42/50)*50</f>
        <v>6100</v>
      </c>
    </row>
    <row r="43" ht="12.75" customHeight="1" spans="1:15" x14ac:dyDescent="0.25">
      <c r="A43" s="18">
        <f>A44+1</f>
        <v>2012</v>
      </c>
      <c r="B43" s="79">
        <f>'CPI-U &amp; C-CPI-U Calcs'!$S24</f>
        <v>1.9863000446495</v>
      </c>
      <c r="C43" s="44">
        <f>C$67*$B43</f>
        <v>1191.7800267897</v>
      </c>
      <c r="D43" s="45">
        <f>+TRUNC(C43/50)*50</f>
        <v>1150</v>
      </c>
      <c r="E43" s="45">
        <f>E$67*$B43</f>
        <v>1489.72503348713</v>
      </c>
      <c r="F43" s="45">
        <f>+TRUNC(E43/50)*50</f>
        <v>1450</v>
      </c>
      <c r="G43" s="90"/>
      <c r="H43" s="44">
        <f>J43*2</f>
        <v>11917.800267897</v>
      </c>
      <c r="I43" s="45">
        <f>+TRUNC(H43/100)*100</f>
        <v>11900</v>
      </c>
      <c r="J43" s="45">
        <f>J$67*$B43</f>
        <v>5958.9001339485</v>
      </c>
      <c r="K43" s="45">
        <f>+TRUNC(J43/50)*50</f>
        <v>5950</v>
      </c>
      <c r="L43" s="45">
        <f>L$67*$B43</f>
        <v>8739.72019645781</v>
      </c>
      <c r="M43" s="45">
        <f>+TRUNC(L43/50)*50</f>
        <v>8700</v>
      </c>
      <c r="N43" s="45">
        <f>N$67*$B43</f>
        <v>5958.9001339485</v>
      </c>
      <c r="O43" s="45">
        <f>+TRUNC(N43/50)*50</f>
        <v>5950</v>
      </c>
    </row>
    <row r="44" ht="12.75" customHeight="1" spans="1:15" x14ac:dyDescent="0.25">
      <c r="A44" s="18">
        <f>A45+1</f>
        <v>2011</v>
      </c>
      <c r="B44" s="79">
        <f>'CPI-U &amp; C-CPI-U Calcs'!$S25</f>
        <v>1.93924616758446</v>
      </c>
      <c r="C44" s="44">
        <f>C$67*$B44</f>
        <v>1163.54770055068</v>
      </c>
      <c r="D44" s="45">
        <f>+TRUNC(C44/50)*50</f>
        <v>1150</v>
      </c>
      <c r="E44" s="45">
        <f>E$67*$B44</f>
        <v>1454.43462568835</v>
      </c>
      <c r="F44" s="45">
        <f>+TRUNC(E44/50)*50</f>
        <v>1450</v>
      </c>
      <c r="G44" s="90"/>
      <c r="H44" s="44">
        <f>J44*2</f>
        <v>11635.4770055068</v>
      </c>
      <c r="I44" s="45">
        <f>+TRUNC(H44/100)*100</f>
        <v>11600</v>
      </c>
      <c r="J44" s="45">
        <f>J$67*$B44</f>
        <v>5817.73850275339</v>
      </c>
      <c r="K44" s="45">
        <f>+TRUNC(J44/50)*50</f>
        <v>5800</v>
      </c>
      <c r="L44" s="45">
        <f>L$67*$B44</f>
        <v>8532.68313737163</v>
      </c>
      <c r="M44" s="45">
        <f>+TRUNC(L44/50)*50</f>
        <v>8500</v>
      </c>
      <c r="N44" s="45">
        <f>N$67*$B44</f>
        <v>5817.73850275339</v>
      </c>
      <c r="O44" s="45">
        <f>+TRUNC(N44/50)*50</f>
        <v>5800</v>
      </c>
    </row>
    <row r="45" ht="12.75" customHeight="1" spans="1:15" x14ac:dyDescent="0.25">
      <c r="A45" s="18">
        <f>A46+1</f>
        <v>2010</v>
      </c>
      <c r="B45" s="79">
        <f>'CPI-U &amp; C-CPI-U Calcs'!$S26</f>
        <v>1.91101949694895</v>
      </c>
      <c r="C45" s="44">
        <f>C$67*$B45</f>
        <v>1146.61169816937</v>
      </c>
      <c r="D45" s="45">
        <f>+TRUNC(C45/50)*50</f>
        <v>1100</v>
      </c>
      <c r="E45" s="45">
        <f>E$67*$B45</f>
        <v>1433.26462271171</v>
      </c>
      <c r="F45" s="45">
        <f>+TRUNC(E45/50)*50</f>
        <v>1400</v>
      </c>
      <c r="G45" s="90"/>
      <c r="H45" s="44">
        <f>J45*2</f>
        <v>11466.1169816937</v>
      </c>
      <c r="I45" s="45">
        <f>+TRUNC(H45/100)*100</f>
        <v>11400</v>
      </c>
      <c r="J45" s="45">
        <f>J$67*$B45</f>
        <v>5733.05849084685</v>
      </c>
      <c r="K45" s="45">
        <f>+TRUNC(J45/50)*50</f>
        <v>5700</v>
      </c>
      <c r="L45" s="45">
        <f>L$67*$B45</f>
        <v>8408.48578657539</v>
      </c>
      <c r="M45" s="45">
        <f>+TRUNC(L45/50)*50</f>
        <v>8400</v>
      </c>
      <c r="N45" s="45">
        <f>N$67*$B45</f>
        <v>5733.05849084685</v>
      </c>
      <c r="O45" s="45">
        <f>+TRUNC(N45/50)*50</f>
        <v>5700</v>
      </c>
    </row>
    <row r="46" ht="12.75" customHeight="1" spans="1:15" x14ac:dyDescent="0.25">
      <c r="A46" s="18">
        <f>A47+1</f>
        <v>2009</v>
      </c>
      <c r="B46" s="79">
        <f>'CPI-U &amp; C-CPI-U Calcs'!$S27</f>
        <v>1.90747134990326</v>
      </c>
      <c r="C46" s="44">
        <f>C$67*$B46</f>
        <v>1144.48280994196</v>
      </c>
      <c r="D46" s="45">
        <f>+TRUNC(C46/50)*50</f>
        <v>1100</v>
      </c>
      <c r="E46" s="45">
        <f>E$67*$B46</f>
        <v>1430.60351242745</v>
      </c>
      <c r="F46" s="45">
        <f>+TRUNC(E46/50)*50</f>
        <v>1400</v>
      </c>
      <c r="G46" s="90"/>
      <c r="H46" s="44">
        <f>J46*2</f>
        <v>11444.8280994196</v>
      </c>
      <c r="I46" s="45">
        <f>+TRUNC(H46/100)*100</f>
        <v>11400</v>
      </c>
      <c r="J46" s="45">
        <f>J$67*$B46</f>
        <v>5722.41404970978</v>
      </c>
      <c r="K46" s="45">
        <f>+TRUNC(J46/50)*50</f>
        <v>5700</v>
      </c>
      <c r="L46" s="45">
        <f>L$67*$B46</f>
        <v>8392.87393957435</v>
      </c>
      <c r="M46" s="45">
        <f>+TRUNC(L46/50)*50</f>
        <v>8350</v>
      </c>
      <c r="N46" s="45">
        <f>N$67*$B46</f>
        <v>5722.41404970978</v>
      </c>
      <c r="O46" s="45">
        <f>+TRUNC(N46/50)*50</f>
        <v>5700</v>
      </c>
    </row>
    <row r="47" ht="12.75" customHeight="1" spans="1:15" x14ac:dyDescent="0.25">
      <c r="A47" s="18">
        <f>A48+1</f>
        <v>2008</v>
      </c>
      <c r="B47" s="79">
        <f>'CPI-U &amp; C-CPI-U Calcs'!$S28</f>
        <v>1.82949099568388</v>
      </c>
      <c r="C47" s="44">
        <f>C$67*$B47</f>
        <v>1097.69459741033</v>
      </c>
      <c r="D47" s="45">
        <f>+TRUNC(C47/50)*50</f>
        <v>1050</v>
      </c>
      <c r="E47" s="45">
        <f>E$67*$B47</f>
        <v>1372.11824676291</v>
      </c>
      <c r="F47" s="45">
        <f>+TRUNC(E47/50)*50</f>
        <v>1350</v>
      </c>
      <c r="G47" s="90"/>
      <c r="H47" s="44">
        <f>J47*2</f>
        <v>10976.9459741033</v>
      </c>
      <c r="I47" s="45">
        <f>+TRUNC(H47/100)*100</f>
        <v>10900</v>
      </c>
      <c r="J47" s="45">
        <f>J$67*$B47</f>
        <v>5488.47298705165</v>
      </c>
      <c r="K47" s="45">
        <f>+TRUNC(J47/50)*50</f>
        <v>5450</v>
      </c>
      <c r="L47" s="45">
        <f>L$67*$B47</f>
        <v>8049.76038100908</v>
      </c>
      <c r="M47" s="45">
        <f>+TRUNC(L47/50)*50</f>
        <v>8000</v>
      </c>
      <c r="N47" s="45">
        <f>N$67*$B47</f>
        <v>5488.47298705165</v>
      </c>
      <c r="O47" s="45">
        <f>+TRUNC(N47/50)*50</f>
        <v>5450</v>
      </c>
    </row>
    <row r="48" ht="12.75" customHeight="1" spans="1:15" x14ac:dyDescent="0.25">
      <c r="A48" s="18">
        <f>A49+1</f>
        <v>2007</v>
      </c>
      <c r="B48" s="79">
        <f>'CPI-U &amp; C-CPI-U Calcs'!$S29</f>
        <v>1.78858461080518</v>
      </c>
      <c r="C48" s="44">
        <f>C$67*$B48</f>
        <v>1073.15076648311</v>
      </c>
      <c r="D48" s="45">
        <f>+TRUNC(C48/50)*50</f>
        <v>1050</v>
      </c>
      <c r="E48" s="45">
        <f>E$67*$B48</f>
        <v>1341.43845810388</v>
      </c>
      <c r="F48" s="45">
        <f>+TRUNC(E48/50)*50</f>
        <v>1300</v>
      </c>
      <c r="G48" s="90"/>
      <c r="H48" s="44">
        <f>J48*2</f>
        <v>10731.5076648311</v>
      </c>
      <c r="I48" s="45">
        <f>+TRUNC(H48/100)*100</f>
        <v>10700</v>
      </c>
      <c r="J48" s="45">
        <f>J$67*$B48</f>
        <v>5365.75383241554</v>
      </c>
      <c r="K48" s="45">
        <f>+TRUNC(J48/50)*50</f>
        <v>5350</v>
      </c>
      <c r="L48" s="45">
        <f>L$67*$B48</f>
        <v>7869.77228754279</v>
      </c>
      <c r="M48" s="45">
        <f>+TRUNC(L48/50)*50</f>
        <v>7850</v>
      </c>
      <c r="N48" s="45">
        <f>N$67*$B48</f>
        <v>5365.75383241554</v>
      </c>
      <c r="O48" s="45">
        <f>+TRUNC(N48/50)*50</f>
        <v>5350</v>
      </c>
    </row>
    <row r="49" ht="12.75" customHeight="1" spans="1:15" x14ac:dyDescent="0.25">
      <c r="A49" s="18">
        <f>A50+1</f>
        <v>2006</v>
      </c>
      <c r="B49" s="79">
        <f>'CPI-U &amp; C-CPI-U Calcs'!$S30</f>
        <v>1.72138711117726</v>
      </c>
      <c r="C49" s="44">
        <f>C$67*$B49</f>
        <v>1032.83226670636</v>
      </c>
      <c r="D49" s="45">
        <f>+TRUNC(C49/50)*50</f>
        <v>1000</v>
      </c>
      <c r="E49" s="45">
        <f>E$67*$B49</f>
        <v>1291.04033338294</v>
      </c>
      <c r="F49" s="45">
        <f>+TRUNC(E49/50)*50</f>
        <v>1250</v>
      </c>
      <c r="G49" s="90"/>
      <c r="H49" s="44">
        <f>J49*2</f>
        <v>10328.3226670636</v>
      </c>
      <c r="I49" s="45">
        <f>+TRUNC(H49/100)*100</f>
        <v>10300</v>
      </c>
      <c r="J49" s="45">
        <f>J$67*$B49</f>
        <v>5164.16133353178</v>
      </c>
      <c r="K49" s="45">
        <f>+TRUNC(J49/50)*50</f>
        <v>5150</v>
      </c>
      <c r="L49" s="45">
        <f>L$67*$B49</f>
        <v>7574.10328917994</v>
      </c>
      <c r="M49" s="45">
        <f>+TRUNC(L49/50)*50</f>
        <v>7550</v>
      </c>
      <c r="N49" s="45">
        <f>N$67*$B49</f>
        <v>5164.16133353178</v>
      </c>
      <c r="O49" s="45">
        <f>+TRUNC(N49/50)*50</f>
        <v>5150</v>
      </c>
    </row>
    <row r="50" ht="12.75" customHeight="1" spans="1:15" x14ac:dyDescent="0.25">
      <c r="A50" s="18">
        <f>A51+1</f>
        <v>2005</v>
      </c>
      <c r="B50" s="79">
        <f>'CPI-U &amp; C-CPI-U Calcs'!$S31</f>
        <v>1.66951927370144</v>
      </c>
      <c r="C50" s="44">
        <f>C$67*$B50</f>
        <v>1001.71156422087</v>
      </c>
      <c r="D50" s="45">
        <f>+TRUNC(C50/50)*50</f>
        <v>1000</v>
      </c>
      <c r="E50" s="45">
        <f>E$67*$B50</f>
        <v>1252.13945527608</v>
      </c>
      <c r="F50" s="45">
        <f>+TRUNC(E50/50)*50</f>
        <v>1250</v>
      </c>
      <c r="G50" s="90"/>
      <c r="H50" s="44">
        <f>J50*2</f>
        <v>10017.1156422087</v>
      </c>
      <c r="I50" s="45">
        <f>+TRUNC(H50/100)*100</f>
        <v>10000</v>
      </c>
      <c r="J50" s="45">
        <f>J$67*$B50</f>
        <v>5008.55782110433</v>
      </c>
      <c r="K50" s="45">
        <f>+TRUNC(J50/50)*50</f>
        <v>5000</v>
      </c>
      <c r="L50" s="45">
        <f>L$67*$B50</f>
        <v>7345.88480428635</v>
      </c>
      <c r="M50" s="45">
        <f>+TRUNC(L50/50)*50</f>
        <v>7300</v>
      </c>
      <c r="N50" s="45">
        <f>N$67*$B50</f>
        <v>5008.55782110433</v>
      </c>
      <c r="O50" s="45">
        <f>+TRUNC(N50/50)*50</f>
        <v>5000</v>
      </c>
    </row>
    <row r="51" ht="12.75" customHeight="1" spans="1:15" x14ac:dyDescent="0.25">
      <c r="A51" s="18">
        <f>A52+1</f>
        <v>2004</v>
      </c>
      <c r="B51" s="79">
        <f>'CPI-U &amp; C-CPI-U Calcs'!$S32</f>
        <v>1.63193927667808</v>
      </c>
      <c r="C51" s="44">
        <f>C$67*$B51</f>
        <v>979.163566006846</v>
      </c>
      <c r="D51" s="45">
        <f>+TRUNC(C51/50)*50</f>
        <v>950</v>
      </c>
      <c r="E51" s="45">
        <f>E$67*$B51</f>
        <v>1223.95445750856</v>
      </c>
      <c r="F51" s="45">
        <f>+TRUNC(E51/50)*50</f>
        <v>1200</v>
      </c>
      <c r="G51" s="90"/>
      <c r="H51" s="44">
        <f>J51*2</f>
        <v>9791.63566006846</v>
      </c>
      <c r="I51" s="45">
        <f>+TRUNC(H51/100)*100</f>
        <v>9700</v>
      </c>
      <c r="J51" s="45">
        <f>J$67*$B51</f>
        <v>4895.81783003423</v>
      </c>
      <c r="K51" s="45">
        <f>+TRUNC(J51/50)*50</f>
        <v>4850</v>
      </c>
      <c r="L51" s="45">
        <f>L$67*$B51</f>
        <v>7180.53281738354</v>
      </c>
      <c r="M51" s="45">
        <f>+TRUNC(L51/50)*50</f>
        <v>7150</v>
      </c>
      <c r="N51" s="45">
        <f>N$67*$B51</f>
        <v>4895.81783003423</v>
      </c>
      <c r="O51" s="45">
        <f>+TRUNC(N51/50)*50</f>
        <v>4850</v>
      </c>
    </row>
    <row r="52" ht="12.75" customHeight="1" spans="1:15" x14ac:dyDescent="0.25">
      <c r="A52" s="18">
        <f>A53+1</f>
        <v>2003</v>
      </c>
      <c r="B52" s="79">
        <f>'CPI-U &amp; C-CPI-U Calcs'!$S33</f>
        <v>1.59554993302575</v>
      </c>
      <c r="C52" s="44">
        <f>C$67*$B52</f>
        <v>957.329959815449</v>
      </c>
      <c r="D52" s="45">
        <f>+TRUNC(C52/50)*50</f>
        <v>950</v>
      </c>
      <c r="E52" s="45">
        <f>E$67*$B52</f>
        <v>1196.66244976931</v>
      </c>
      <c r="F52" s="45">
        <f>+TRUNC(E52/50)*50</f>
        <v>1150</v>
      </c>
      <c r="G52" s="90"/>
      <c r="H52" s="44">
        <f>J52*2</f>
        <v>9573.29959815449</v>
      </c>
      <c r="I52" s="45">
        <f>+TRUNC(H52/100)*100</f>
        <v>9500</v>
      </c>
      <c r="J52" s="45">
        <f>J$67*$B52</f>
        <v>4786.64979907724</v>
      </c>
      <c r="K52" s="45">
        <f>+TRUNC(J52/50)*50</f>
        <v>4750</v>
      </c>
      <c r="L52" s="45">
        <f>L$67*$B52</f>
        <v>7020.41970531329</v>
      </c>
      <c r="M52" s="45">
        <f>+TRUNC(L52/50)*50</f>
        <v>7000</v>
      </c>
      <c r="N52" s="45">
        <f>N$67*$B52</f>
        <v>4786.64979907724</v>
      </c>
      <c r="O52" s="45">
        <f>+TRUNC(N52/50)*50</f>
        <v>4750</v>
      </c>
    </row>
    <row r="53" ht="12.75" customHeight="1" spans="1:15" x14ac:dyDescent="0.25">
      <c r="A53" s="18">
        <f>A54+1</f>
        <v>2002</v>
      </c>
      <c r="B53" s="79">
        <f>'CPI-U &amp; C-CPI-U Calcs'!$S34</f>
        <v>1.57054621223396</v>
      </c>
      <c r="C53" s="44">
        <f>C$67*$B53</f>
        <v>942.327727340378</v>
      </c>
      <c r="D53" s="45">
        <f>+TRUNC(C53/50)*50</f>
        <v>900</v>
      </c>
      <c r="E53" s="45">
        <f>E$67*$B53</f>
        <v>1177.90965917547</v>
      </c>
      <c r="F53" s="45">
        <f>+TRUNC(E53/50)*50</f>
        <v>1150</v>
      </c>
      <c r="G53" s="90"/>
      <c r="H53" s="44">
        <f>J53*1.666666667</f>
        <v>7852.73106274036</v>
      </c>
      <c r="I53" s="45">
        <f>+TRUNC(H53/50)*50</f>
        <v>7850</v>
      </c>
      <c r="J53" s="45">
        <f>J$67*$B53</f>
        <v>4711.63863670189</v>
      </c>
      <c r="K53" s="45">
        <f>+TRUNC(J53/50)*50</f>
        <v>4700</v>
      </c>
      <c r="L53" s="45">
        <f>L$67*$B53</f>
        <v>6910.40333382944</v>
      </c>
      <c r="M53" s="45">
        <f>+TRUNC(L53/50)*50</f>
        <v>6900</v>
      </c>
      <c r="N53" s="45">
        <f>N$67*$B53</f>
        <v>4711.63863670189</v>
      </c>
      <c r="O53" s="45">
        <f>+TRUNC(N53/50)*50</f>
        <v>4700</v>
      </c>
    </row>
    <row r="54" ht="12.75" customHeight="1" spans="1:15" x14ac:dyDescent="0.25">
      <c r="A54" s="18">
        <f>A55+1</f>
        <v>2001</v>
      </c>
      <c r="B54" s="79">
        <f>'CPI-U &amp; C-CPI-U Calcs'!$S35</f>
        <v>1.52053877065039</v>
      </c>
      <c r="C54" s="44">
        <f>C$67*$B54</f>
        <v>912.323262390237</v>
      </c>
      <c r="D54" s="45">
        <f>+TRUNC(C54/50)*50</f>
        <v>900</v>
      </c>
      <c r="E54" s="45">
        <f>E$67*$B54</f>
        <v>1140.4040779878</v>
      </c>
      <c r="F54" s="45">
        <f>+TRUNC(E54/50)*50</f>
        <v>1100</v>
      </c>
      <c r="G54" s="90"/>
      <c r="H54" s="44">
        <f>J54*1.666666667</f>
        <v>7602.69385477251</v>
      </c>
      <c r="I54" s="45">
        <f>+TRUNC(H54/50)*50</f>
        <v>7600</v>
      </c>
      <c r="J54" s="45">
        <f>J$67*$B54</f>
        <v>4561.61631195118</v>
      </c>
      <c r="K54" s="45">
        <f>+TRUNC(J54/50)*50</f>
        <v>4550</v>
      </c>
      <c r="L54" s="45">
        <f>L$67*$B54</f>
        <v>6690.37059086174</v>
      </c>
      <c r="M54" s="45">
        <f>+TRUNC(L54/50)*50</f>
        <v>6650</v>
      </c>
      <c r="N54" s="45">
        <f>N$67*$B54</f>
        <v>4561.61631195118</v>
      </c>
      <c r="O54" s="45">
        <f>+TRUNC(N54/50)*50</f>
        <v>4550</v>
      </c>
    </row>
    <row r="55" ht="12.75" customHeight="1" spans="1:15" x14ac:dyDescent="0.25">
      <c r="A55" s="18">
        <f>A56+1</f>
        <v>2000</v>
      </c>
      <c r="B55" s="79">
        <f>'CPI-U &amp; C-CPI-U Calcs'!$S36</f>
        <v>1.47469861586546</v>
      </c>
      <c r="C55" s="44">
        <f>C$67*$B55</f>
        <v>884.819169519274</v>
      </c>
      <c r="D55" s="45">
        <f>+TRUNC(C55/50)*50</f>
        <v>850</v>
      </c>
      <c r="E55" s="45">
        <f>E$67*$B55</f>
        <v>1106.02396189909</v>
      </c>
      <c r="F55" s="45">
        <f>+TRUNC(E55/50)*50</f>
        <v>1100</v>
      </c>
      <c r="G55" s="90"/>
      <c r="H55" s="44">
        <f>J55*1.666666667</f>
        <v>7373.49308080198</v>
      </c>
      <c r="I55" s="45">
        <f>+TRUNC(H55/50)*50</f>
        <v>7350</v>
      </c>
      <c r="J55" s="45">
        <f>J$67*$B55</f>
        <v>4424.09584759637</v>
      </c>
      <c r="K55" s="45">
        <f>+TRUNC(J55/50)*50</f>
        <v>4400</v>
      </c>
      <c r="L55" s="45">
        <f>L$67*$B55</f>
        <v>6488.67390980801</v>
      </c>
      <c r="M55" s="45">
        <f>+TRUNC(L55/50)*50</f>
        <v>6450</v>
      </c>
      <c r="N55" s="45">
        <f>N$67*$B55</f>
        <v>4424.09584759637</v>
      </c>
      <c r="O55" s="45">
        <f>+TRUNC(N55/50)*50</f>
        <v>4400</v>
      </c>
    </row>
    <row r="56" ht="12.75" customHeight="1" spans="1:15" x14ac:dyDescent="0.25">
      <c r="A56" s="18">
        <f>A57+1</f>
        <v>1999</v>
      </c>
      <c r="B56" s="79">
        <f>'CPI-U &amp; C-CPI-U Calcs'!$S37</f>
        <v>1.44828099419556</v>
      </c>
      <c r="C56" s="44">
        <f>C$67*$B56</f>
        <v>868.968596517339</v>
      </c>
      <c r="D56" s="45">
        <f>+TRUNC(C56/50)*50</f>
        <v>850</v>
      </c>
      <c r="E56" s="45">
        <f>E$67*$B56</f>
        <v>1086.21074564667</v>
      </c>
      <c r="F56" s="45">
        <f>+TRUNC(E56/50)*50</f>
        <v>1050</v>
      </c>
      <c r="G56" s="90"/>
      <c r="H56" s="44">
        <f>J56*1.666666667</f>
        <v>7241.40497242611</v>
      </c>
      <c r="I56" s="45">
        <f>+TRUNC(H56/50)*50</f>
        <v>7200</v>
      </c>
      <c r="J56" s="45">
        <f>J$67*$B56</f>
        <v>4344.84298258669</v>
      </c>
      <c r="K56" s="45">
        <f>+TRUNC(J56/50)*50</f>
        <v>4300</v>
      </c>
      <c r="L56" s="45">
        <f>L$67*$B56</f>
        <v>6372.43637446049</v>
      </c>
      <c r="M56" s="45">
        <f>+TRUNC(L56/50)*50</f>
        <v>6350</v>
      </c>
      <c r="N56" s="45">
        <f>N$67*$B56</f>
        <v>4344.84298258669</v>
      </c>
      <c r="O56" s="45">
        <f>+TRUNC(N56/50)*50</f>
        <v>4300</v>
      </c>
    </row>
    <row r="57" ht="12.75" customHeight="1" spans="1:15" x14ac:dyDescent="0.25">
      <c r="A57" s="18">
        <f>A58+1</f>
        <v>1998</v>
      </c>
      <c r="B57" s="79">
        <f>'CPI-U &amp; C-CPI-U Calcs'!$S38</f>
        <v>1.42424467926775</v>
      </c>
      <c r="C57" s="44">
        <f>C$67*$B57</f>
        <v>854.546807560649</v>
      </c>
      <c r="D57" s="45">
        <f>+TRUNC(C57/50)*50</f>
        <v>850</v>
      </c>
      <c r="E57" s="45">
        <f>E$67*$B57</f>
        <v>1068.18350945081</v>
      </c>
      <c r="F57" s="45">
        <f>+TRUNC(E57/50)*50</f>
        <v>1050</v>
      </c>
      <c r="G57" s="90"/>
      <c r="H57" s="44">
        <f>J57*1.666666667</f>
        <v>7121.22339776299</v>
      </c>
      <c r="I57" s="45">
        <f>+TRUNC(H57/50)*50</f>
        <v>7100</v>
      </c>
      <c r="J57" s="45">
        <f>J$67*$B57</f>
        <v>4272.73403780324</v>
      </c>
      <c r="K57" s="45">
        <f>+TRUNC(J57/50)*50</f>
        <v>4250</v>
      </c>
      <c r="L57" s="45">
        <f>L$67*$B57</f>
        <v>6266.67658877809</v>
      </c>
      <c r="M57" s="45">
        <f>+TRUNC(L57/50)*50</f>
        <v>6250</v>
      </c>
      <c r="N57" s="45">
        <f>N$67*$B57</f>
        <v>4272.73403780324</v>
      </c>
      <c r="O57" s="45">
        <f>+TRUNC(N57/50)*50</f>
        <v>4250</v>
      </c>
    </row>
    <row r="58" ht="12.75" customHeight="1" spans="1:15" x14ac:dyDescent="0.25">
      <c r="A58" s="18">
        <f>A59+1</f>
        <v>1997</v>
      </c>
      <c r="B58" s="79">
        <f>'CPI-U &amp; C-CPI-U Calcs'!$S39</f>
        <v>1.38629260306593</v>
      </c>
      <c r="C58" s="44">
        <f>C$67*$B58</f>
        <v>831.77556183956</v>
      </c>
      <c r="D58" s="45">
        <f>+TRUNC(C58/50)*50</f>
        <v>800</v>
      </c>
      <c r="E58" s="45">
        <f>E$67*$B58</f>
        <v>1039.71945229945</v>
      </c>
      <c r="F58" s="45">
        <f>+TRUNC(E58/50)*50</f>
        <v>1000</v>
      </c>
      <c r="G58" s="90"/>
      <c r="H58" s="44">
        <f>J58*1.666666667</f>
        <v>6931.46301671596</v>
      </c>
      <c r="I58" s="45">
        <f>+TRUNC(H58/50)*50</f>
        <v>6900</v>
      </c>
      <c r="J58" s="45">
        <f>J$67*$B58</f>
        <v>4158.8778091978</v>
      </c>
      <c r="K58" s="45">
        <f>+TRUNC(J58/50)*50</f>
        <v>4150</v>
      </c>
      <c r="L58" s="45">
        <f>L$67*$B58</f>
        <v>6099.6874534901</v>
      </c>
      <c r="M58" s="45">
        <f>+TRUNC(L58/50)*50</f>
        <v>6050</v>
      </c>
      <c r="N58" s="45">
        <f>N$67*$B58</f>
        <v>4158.8778091978</v>
      </c>
      <c r="O58" s="45">
        <f>+TRUNC(N58/50)*50</f>
        <v>4150</v>
      </c>
    </row>
    <row r="59" ht="12.75" customHeight="1" spans="1:15" x14ac:dyDescent="0.25">
      <c r="A59" s="18">
        <f>A60+1</f>
        <v>1996</v>
      </c>
      <c r="B59" s="79">
        <f>'CPI-U &amp; C-CPI-U Calcs'!$S40</f>
        <v>1.34908468522102</v>
      </c>
      <c r="C59" s="44">
        <f>C$67*$B59</f>
        <v>809.450811132609</v>
      </c>
      <c r="D59" s="45">
        <f>+TRUNC(C59/50)*50</f>
        <v>800</v>
      </c>
      <c r="E59" s="45">
        <f>E$67*$B59</f>
        <v>1011.81351391576</v>
      </c>
      <c r="F59" s="45">
        <f>+TRUNC(E59/50)*50</f>
        <v>1000</v>
      </c>
      <c r="G59" s="90"/>
      <c r="H59" s="44">
        <f>J59*2</f>
        <v>8094.50811132609</v>
      </c>
      <c r="I59" s="45">
        <f>+TRUNC(H59/50)*50</f>
        <v>8050</v>
      </c>
      <c r="J59" s="45">
        <f>J$67*$B59</f>
        <v>4047.25405566305</v>
      </c>
      <c r="K59" s="45">
        <f>+TRUNC(J59/50)*50</f>
        <v>4000</v>
      </c>
      <c r="L59" s="45">
        <f>L$67*$B59</f>
        <v>5935.97261497247</v>
      </c>
      <c r="M59" s="45">
        <f>+TRUNC(L59/50)*50</f>
        <v>5900</v>
      </c>
      <c r="N59" s="45">
        <f>N$67*$B59</f>
        <v>4047.25405566305</v>
      </c>
      <c r="O59" s="45">
        <f>+TRUNC(N59/50)*50</f>
        <v>4000</v>
      </c>
    </row>
    <row r="60" ht="12.75" customHeight="1" spans="1:15" x14ac:dyDescent="0.25">
      <c r="A60" s="18">
        <f>A61+1</f>
        <v>1995</v>
      </c>
      <c r="B60" s="79">
        <f>'CPI-U &amp; C-CPI-U Calcs'!$S41</f>
        <v>1.31180235154041</v>
      </c>
      <c r="C60" s="44">
        <f>C$67*$B60</f>
        <v>787.081410924245</v>
      </c>
      <c r="D60" s="45">
        <f>+TRUNC(C60/50)*50</f>
        <v>750</v>
      </c>
      <c r="E60" s="45">
        <f>E$67*$B60</f>
        <v>983.851763655306</v>
      </c>
      <c r="F60" s="45">
        <f>+TRUNC(E60/50)*50</f>
        <v>950</v>
      </c>
      <c r="G60" s="90"/>
      <c r="H60" s="44">
        <f>J60*2</f>
        <v>7870.81410924245</v>
      </c>
      <c r="I60" s="45">
        <f>+TRUNC(H60/50)*50</f>
        <v>7850</v>
      </c>
      <c r="J60" s="45">
        <f>J$67*$B60</f>
        <v>3935.40705462122</v>
      </c>
      <c r="K60" s="45">
        <f>+TRUNC(J60/50)*50</f>
        <v>3900</v>
      </c>
      <c r="L60" s="45">
        <f>L$67*$B60</f>
        <v>5771.9303467778</v>
      </c>
      <c r="M60" s="45">
        <f>+TRUNC(L60/50)*50</f>
        <v>5750</v>
      </c>
      <c r="N60" s="45">
        <f>N$67*$B60</f>
        <v>3935.40705462122</v>
      </c>
      <c r="O60" s="45">
        <f>+TRUNC(N60/50)*50</f>
        <v>3900</v>
      </c>
    </row>
    <row r="61" ht="12.75" customHeight="1" spans="1:15" x14ac:dyDescent="0.25">
      <c r="A61" s="18">
        <f>A62+1</f>
        <v>1994</v>
      </c>
      <c r="B61" s="79">
        <f>'CPI-U &amp; C-CPI-U Calcs'!$S42</f>
        <v>1.27853847298705</v>
      </c>
      <c r="C61" s="44">
        <f>C$67*$B61</f>
        <v>767.123083792231</v>
      </c>
      <c r="D61" s="45">
        <f>+TRUNC(C61/50)*50</f>
        <v>750</v>
      </c>
      <c r="E61" s="45">
        <f>E$67*$B61</f>
        <v>958.903854740289</v>
      </c>
      <c r="F61" s="45">
        <f>+TRUNC(E61/50)*50</f>
        <v>950</v>
      </c>
      <c r="G61" s="90"/>
      <c r="H61" s="44">
        <f>J61*2</f>
        <v>7671.23083792231</v>
      </c>
      <c r="I61" s="45">
        <f>+TRUNC(H61/50)*50</f>
        <v>7650</v>
      </c>
      <c r="J61" s="45">
        <f>J$67*$B61</f>
        <v>3835.61541896116</v>
      </c>
      <c r="K61" s="45">
        <f>+TRUNC(J61/50)*50</f>
        <v>3800</v>
      </c>
      <c r="L61" s="45">
        <f>L$67*$B61</f>
        <v>5625.56928114303</v>
      </c>
      <c r="M61" s="45">
        <f>+TRUNC(L61/50)*50</f>
        <v>5600</v>
      </c>
      <c r="N61" s="45">
        <f>N$67*$B61</f>
        <v>3835.61541896116</v>
      </c>
      <c r="O61" s="45">
        <f>+TRUNC(N61/50)*50</f>
        <v>3800</v>
      </c>
    </row>
    <row r="62" ht="12.75" customHeight="1" spans="1:15" x14ac:dyDescent="0.25">
      <c r="A62" s="18">
        <f>A63+1</f>
        <v>1993</v>
      </c>
      <c r="B62" s="79">
        <f>'CPI-U &amp; C-CPI-U Calcs'!$S43</f>
        <v>1.24058639678524</v>
      </c>
      <c r="C62" s="44">
        <f>C$67*$B62</f>
        <v>744.351838071142</v>
      </c>
      <c r="D62" s="45">
        <f>+TRUNC(C62/50)*50</f>
        <v>700</v>
      </c>
      <c r="E62" s="45">
        <f>E$67*$B62</f>
        <v>930.439797588927</v>
      </c>
      <c r="F62" s="45">
        <f>+TRUNC(E62/50)*50</f>
        <v>900</v>
      </c>
      <c r="G62" s="90"/>
      <c r="H62" s="44">
        <f>J62*2</f>
        <v>7443.51838071142</v>
      </c>
      <c r="I62" s="45">
        <f>+TRUNC(H62/50)*50</f>
        <v>7400</v>
      </c>
      <c r="J62" s="45">
        <f>J$67*$B62</f>
        <v>3721.75919035571</v>
      </c>
      <c r="K62" s="45">
        <f>+TRUNC(J62/50)*50</f>
        <v>3700</v>
      </c>
      <c r="L62" s="45">
        <f>L$67*$B62</f>
        <v>5458.58014585504</v>
      </c>
      <c r="M62" s="45">
        <f>+TRUNC(L62/50)*50</f>
        <v>5450</v>
      </c>
      <c r="N62" s="45">
        <f>N$67*$B62</f>
        <v>3721.75919035571</v>
      </c>
      <c r="O62" s="45">
        <f>+TRUNC(N62/50)*50</f>
        <v>3700</v>
      </c>
    </row>
    <row r="63" ht="12.75" customHeight="1" spans="1:15" x14ac:dyDescent="0.25">
      <c r="A63" s="18">
        <f>A64+1</f>
        <v>1992</v>
      </c>
      <c r="B63" s="79">
        <f>'CPI-U &amp; C-CPI-U Calcs'!$S44</f>
        <v>1.20389938979015</v>
      </c>
      <c r="C63" s="44">
        <f>C$67*$B63</f>
        <v>722.339633874089</v>
      </c>
      <c r="D63" s="45">
        <f>+TRUNC(C63/50)*50</f>
        <v>700</v>
      </c>
      <c r="E63" s="45">
        <f>E$67*$B63</f>
        <v>902.924542342611</v>
      </c>
      <c r="F63" s="45">
        <f>+TRUNC(E63/50)*50</f>
        <v>900</v>
      </c>
      <c r="G63" s="90"/>
      <c r="H63" s="44">
        <f>J63*2</f>
        <v>7223.39633874089</v>
      </c>
      <c r="I63" s="45">
        <f>+TRUNC(H63/50)*50</f>
        <v>7200</v>
      </c>
      <c r="J63" s="45">
        <f>J$67*$B63</f>
        <v>3611.69816937044</v>
      </c>
      <c r="K63" s="45">
        <f>+TRUNC(J63/50)*50</f>
        <v>3600</v>
      </c>
      <c r="L63" s="45">
        <f>L$67*$B63</f>
        <v>5297.15731507665</v>
      </c>
      <c r="M63" s="45">
        <f>+TRUNC(L63/50)*50</f>
        <v>5250</v>
      </c>
      <c r="N63" s="45">
        <f>N$67*$B63</f>
        <v>3611.69816937044</v>
      </c>
      <c r="O63" s="45">
        <f>+TRUNC(N63/50)*50</f>
        <v>3600</v>
      </c>
    </row>
    <row r="64" ht="12.75" customHeight="1" spans="1:15" x14ac:dyDescent="0.25">
      <c r="A64" s="18">
        <f>A65+1</f>
        <v>1991</v>
      </c>
      <c r="B64" s="79">
        <f>'CPI-U &amp; C-CPI-U Calcs'!$S45</f>
        <v>1.14354814704569</v>
      </c>
      <c r="C64" s="44">
        <f>C$67*$B64</f>
        <v>686.128888227415</v>
      </c>
      <c r="D64" s="45">
        <f>+TRUNC(C64/50)*50</f>
        <v>650</v>
      </c>
      <c r="E64" s="45">
        <f>E$67*$B64</f>
        <v>857.661110284268</v>
      </c>
      <c r="F64" s="45">
        <f>+TRUNC(E64/50)*50</f>
        <v>850</v>
      </c>
      <c r="G64" s="90"/>
      <c r="H64" s="44">
        <f>J64*2</f>
        <v>6861.28888227415</v>
      </c>
      <c r="I64" s="45">
        <f>+TRUNC(H64/50)*50</f>
        <v>6850</v>
      </c>
      <c r="J64" s="45">
        <f>J$67*$B64</f>
        <v>3430.64444113707</v>
      </c>
      <c r="K64" s="45">
        <f>+TRUNC(J64/50)*50</f>
        <v>3400</v>
      </c>
      <c r="L64" s="45">
        <f>L$67*$B64</f>
        <v>5031.61184700104</v>
      </c>
      <c r="M64" s="45">
        <f>+TRUNC(L64/50)*50</f>
        <v>5000</v>
      </c>
      <c r="N64" s="45">
        <f>N$67*$B64</f>
        <v>3430.64444113707</v>
      </c>
      <c r="O64" s="45">
        <f>+TRUNC(N64/50)*50</f>
        <v>3400</v>
      </c>
    </row>
    <row r="65" ht="12.75" customHeight="1" spans="1:15" x14ac:dyDescent="0.25">
      <c r="A65" s="18">
        <f>A66+1</f>
        <v>1990</v>
      </c>
      <c r="B65" s="79">
        <f>'CPI-U &amp; C-CPI-U Calcs'!$S46</f>
        <v>1.0907873195416</v>
      </c>
      <c r="C65" s="44">
        <f>C$67*$B65</f>
        <v>654.472391724959</v>
      </c>
      <c r="D65" s="45">
        <f>+TRUNC(C65/50)*50</f>
        <v>650</v>
      </c>
      <c r="E65" s="45">
        <f>E$67*$B65</f>
        <v>818.090489656199</v>
      </c>
      <c r="F65" s="45">
        <f>+TRUNC(E65/50)*50</f>
        <v>800</v>
      </c>
      <c r="G65" s="90"/>
      <c r="H65" s="44">
        <f>J65*2</f>
        <v>6544.72391724959</v>
      </c>
      <c r="I65" s="45">
        <f>+TRUNC(H65/50)*50</f>
        <v>6500</v>
      </c>
      <c r="J65" s="45">
        <f>J$67*$B65</f>
        <v>3272.3619586248</v>
      </c>
      <c r="K65" s="45">
        <f>+TRUNC(J65/50)*50</f>
        <v>3250</v>
      </c>
      <c r="L65" s="45">
        <f>L$67*$B65</f>
        <v>4799.46420598303</v>
      </c>
      <c r="M65" s="45">
        <f>+TRUNC(L65/50)*50</f>
        <v>4750</v>
      </c>
      <c r="N65" s="45">
        <f>N$67*$B65</f>
        <v>3272.3619586248</v>
      </c>
      <c r="O65" s="45">
        <f>+TRUNC(N65/50)*50</f>
        <v>3250</v>
      </c>
    </row>
    <row r="66" ht="12.75" customHeight="1" spans="1:15" x14ac:dyDescent="0.25">
      <c r="A66" s="18">
        <f>A67+1</f>
        <v>1989</v>
      </c>
      <c r="B66" s="79">
        <f>'CPI-U &amp; C-CPI-U Calcs'!$S47</f>
        <v>1.04137520464355</v>
      </c>
      <c r="C66" s="44">
        <f>C$67*$B66</f>
        <v>624.825122786129</v>
      </c>
      <c r="D66" s="45">
        <f>+TRUNC(C66/50)*50</f>
        <v>600</v>
      </c>
      <c r="E66" s="45">
        <f>E$67*$B66</f>
        <v>781.031403482661</v>
      </c>
      <c r="F66" s="45">
        <f>+TRUNC(E66/50)*50</f>
        <v>750</v>
      </c>
      <c r="G66" s="90"/>
      <c r="H66" s="44">
        <f>H$67*$B66</f>
        <v>6248.25122786129</v>
      </c>
      <c r="I66" s="45">
        <f>+TRUNC(H66/50)*50</f>
        <v>6200</v>
      </c>
      <c r="J66" s="45">
        <f>J$67*$B66</f>
        <v>3124.12561393064</v>
      </c>
      <c r="K66" s="45">
        <f>+TRUNC(J66/50)*50</f>
        <v>3100</v>
      </c>
      <c r="L66" s="45">
        <f>L$67*$B66</f>
        <v>4582.05090043161</v>
      </c>
      <c r="M66" s="45">
        <f>+TRUNC(L66/50)*50</f>
        <v>4550</v>
      </c>
      <c r="N66" s="45">
        <f>N$67*$B66</f>
        <v>3124.12561393064</v>
      </c>
      <c r="O66" s="45">
        <f>+TRUNC(N66/50)*50</f>
        <v>3100</v>
      </c>
    </row>
    <row r="67" ht="12.75" customHeight="1" spans="1:15" x14ac:dyDescent="0.25">
      <c r="A67" s="18">
        <v>1988</v>
      </c>
      <c r="B67" s="86">
        <f>'CPI-U &amp; C-CPI-U Calcs'!$S48</f>
        <v>1</v>
      </c>
      <c r="C67" s="87">
        <v>600</v>
      </c>
      <c r="D67" s="88">
        <v>600</v>
      </c>
      <c r="E67" s="88">
        <v>750</v>
      </c>
      <c r="F67" s="88">
        <v>750</v>
      </c>
      <c r="G67" s="94"/>
      <c r="H67" s="87">
        <v>6000</v>
      </c>
      <c r="I67" s="88">
        <f>+TRUNC(H67/50)*50</f>
        <v>6000</v>
      </c>
      <c r="J67" s="88">
        <v>3000</v>
      </c>
      <c r="K67" s="88">
        <f>+TRUNC(J67/50)*50</f>
        <v>3000</v>
      </c>
      <c r="L67" s="88">
        <v>4400</v>
      </c>
      <c r="M67" s="88">
        <f>+TRUNC(L67/50)*50</f>
        <v>4400</v>
      </c>
      <c r="N67" s="88">
        <v>3000</v>
      </c>
      <c r="O67" s="88">
        <f>+TRUNC(N67/25)*25</f>
        <v>3000</v>
      </c>
    </row>
    <row r="68" ht="13.5" customHeight="1" spans="1:10" x14ac:dyDescent="0.25">
      <c r="A68" s="15"/>
      <c r="B68" s="79"/>
      <c r="C68" s="95" t="s">
        <v>200</v>
      </c>
      <c r="G68" s="90"/>
      <c r="H68" s="95" t="s">
        <v>201</v>
      </c>
      <c r="I68" s="90"/>
      <c r="J68" s="89"/>
    </row>
    <row r="69" ht="12.75" customHeight="1" spans="1:10" x14ac:dyDescent="0.25">
      <c r="A69" s="15"/>
      <c r="B69" s="79"/>
      <c r="C69" s="15"/>
      <c r="G69" s="90"/>
      <c r="H69" s="15"/>
      <c r="I69" s="90"/>
      <c r="J69" s="89"/>
    </row>
    <row r="70" ht="12.75" customHeight="1" spans="1:10" x14ac:dyDescent="0.25">
      <c r="A70" s="15"/>
      <c r="B70" s="89"/>
      <c r="C70" s="89"/>
      <c r="D70" s="89"/>
      <c r="E70" s="90"/>
      <c r="F70" s="90"/>
      <c r="G70" s="90"/>
      <c r="H70" s="90"/>
      <c r="I70" s="90"/>
      <c r="J70" s="89"/>
    </row>
    <row r="71" ht="24.75" customHeight="1" spans="1:6" x14ac:dyDescent="0.25">
      <c r="A71" s="92" t="s">
        <v>202</v>
      </c>
      <c r="B71" s="15"/>
      <c r="C71" s="15"/>
      <c r="D71" s="15"/>
      <c r="E71" s="15"/>
      <c r="F71" s="91"/>
    </row>
    <row r="72" ht="30" customHeight="1" spans="1:15" x14ac:dyDescent="0.25">
      <c r="A72" s="24" t="s">
        <v>6</v>
      </c>
      <c r="B72" s="24" t="s">
        <v>185</v>
      </c>
      <c r="C72" s="40" t="s">
        <v>203</v>
      </c>
      <c r="D72" s="24" t="s">
        <v>204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</row>
    <row r="73" ht="13.5" customHeight="1" spans="1:15" x14ac:dyDescent="0.25">
      <c r="A73" s="27">
        <f>A74+1</f>
        <v>2022</v>
      </c>
      <c r="B73" s="77">
        <f>'CPI-U &amp; C-CPI-U Calcs'!$R14</f>
        <v>2.24375141744968</v>
      </c>
      <c r="C73" s="41">
        <f>C$106*$B73</f>
        <v>4487.50283489936</v>
      </c>
      <c r="D73" s="42">
        <f>+TRUNC(C73/50)*50</f>
        <v>4450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</row>
    <row r="74" ht="12.75" customHeight="1" spans="1:15" x14ac:dyDescent="0.25">
      <c r="A74" s="47">
        <f>A75+1</f>
        <v>2021</v>
      </c>
      <c r="B74" s="78">
        <f>'CPI-U &amp; C-CPI-U Calcs'!$R15</f>
        <v>2.17839943441716</v>
      </c>
      <c r="C74" s="48">
        <f>C$106*$B74</f>
        <v>4356.79886883433</v>
      </c>
      <c r="D74" s="49">
        <f>+TRUNC(C74/50)*50</f>
        <v>4350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</row>
    <row r="75" ht="12.75" customHeight="1" spans="1:15" x14ac:dyDescent="0.25">
      <c r="A75" s="47">
        <f>A76+1</f>
        <v>2020</v>
      </c>
      <c r="B75" s="78">
        <f>'CPI-U &amp; C-CPI-U Calcs'!$R16</f>
        <v>2.15457072568871</v>
      </c>
      <c r="C75" s="48">
        <f>C$106*$B75</f>
        <v>4309.14145137742</v>
      </c>
      <c r="D75" s="49">
        <f>+TRUNC(C75/50)*50</f>
        <v>4300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</row>
    <row r="76" ht="12.75" customHeight="1" spans="1:15" x14ac:dyDescent="0.25">
      <c r="A76" s="47">
        <f>A77+1</f>
        <v>2019</v>
      </c>
      <c r="B76" s="78">
        <f>'CPI-U &amp; C-CPI-U Calcs'!$R17</f>
        <v>2.12166423449077</v>
      </c>
      <c r="C76" s="48">
        <f>C$106*$B76</f>
        <v>4243.32846898154</v>
      </c>
      <c r="D76" s="49">
        <f>+TRUNC(C76/50)*50</f>
        <v>4200</v>
      </c>
      <c r="E76" s="55"/>
      <c r="F76" s="27"/>
      <c r="G76" s="77"/>
      <c r="H76" s="42"/>
      <c r="I76" s="42"/>
      <c r="J76" s="42"/>
      <c r="K76" s="42"/>
      <c r="L76" s="42"/>
      <c r="M76" s="42"/>
      <c r="N76" s="42"/>
      <c r="O76" s="42"/>
    </row>
    <row r="77" ht="12.75" customHeight="1" spans="1:15" x14ac:dyDescent="0.25">
      <c r="A77" s="47">
        <f>A78+1</f>
        <v>2018</v>
      </c>
      <c r="B77" s="78">
        <f>'CPI-U &amp; C-CPI-U Calcs'!$R18</f>
        <v>2.0802041372389</v>
      </c>
      <c r="C77" s="48">
        <f>C$106*$B77</f>
        <v>4160.4082744778</v>
      </c>
      <c r="D77" s="49">
        <f>+TRUNC(C77/50)*50</f>
        <v>4150</v>
      </c>
      <c r="E77" s="55"/>
      <c r="F77" s="18"/>
      <c r="G77" s="79"/>
      <c r="H77" s="45"/>
      <c r="I77" s="45"/>
      <c r="J77" s="45"/>
      <c r="K77" s="45"/>
      <c r="L77" s="45"/>
      <c r="M77" s="45"/>
      <c r="N77" s="45"/>
      <c r="O77" s="45"/>
    </row>
    <row r="78" ht="12.75" customHeight="1" spans="1:15" x14ac:dyDescent="0.25">
      <c r="A78" s="18">
        <f>A79+1</f>
        <v>2017</v>
      </c>
      <c r="B78" s="79">
        <f>'CPI-U &amp; C-CPI-U Calcs'!$R19</f>
        <v>2.04643990281549</v>
      </c>
      <c r="C78" s="44">
        <f>C$106*$B78</f>
        <v>4092.87980563098</v>
      </c>
      <c r="D78" s="45">
        <f>+TRUNC(C78/50)*50</f>
        <v>4050</v>
      </c>
      <c r="E78" s="55"/>
      <c r="F78" s="18"/>
      <c r="G78" s="79"/>
      <c r="H78" s="45"/>
      <c r="I78" s="45"/>
      <c r="J78" s="45"/>
      <c r="K78" s="45"/>
      <c r="L78" s="45"/>
      <c r="M78" s="45"/>
      <c r="N78" s="45"/>
      <c r="O78" s="45"/>
    </row>
    <row r="79" ht="12.75" customHeight="1" spans="1:15" x14ac:dyDescent="0.25">
      <c r="A79" s="18">
        <f>A80+1</f>
        <v>2016</v>
      </c>
      <c r="B79" s="79">
        <f>'CPI-U &amp; C-CPI-U Calcs'!$R20</f>
        <v>2.03014649135344</v>
      </c>
      <c r="C79" s="44">
        <f>C$106*$B79</f>
        <v>4060.29298270687</v>
      </c>
      <c r="D79" s="45">
        <f>+TRUNC(C79/50)*50</f>
        <v>4050</v>
      </c>
      <c r="E79" s="55"/>
      <c r="F79" s="18"/>
      <c r="G79" s="79"/>
      <c r="H79" s="45"/>
      <c r="I79" s="45"/>
      <c r="J79" s="45"/>
      <c r="K79" s="45"/>
      <c r="L79" s="45"/>
      <c r="M79" s="45"/>
      <c r="N79" s="45"/>
      <c r="O79" s="45"/>
    </row>
    <row r="80" ht="12.75" customHeight="1" spans="1:15" x14ac:dyDescent="0.25">
      <c r="A80" s="18">
        <f>A81+1</f>
        <v>2015</v>
      </c>
      <c r="B80" s="79">
        <f>'CPI-U &amp; C-CPI-U Calcs'!$R21</f>
        <v>2.02102329569816</v>
      </c>
      <c r="C80" s="44">
        <f>C$106*$B80</f>
        <v>4042.04659139631</v>
      </c>
      <c r="D80" s="45">
        <f>+TRUNC(C80/50)*50</f>
        <v>4000</v>
      </c>
      <c r="E80" s="55"/>
      <c r="F80" s="18"/>
      <c r="G80" s="79"/>
      <c r="H80" s="45"/>
      <c r="I80" s="45"/>
      <c r="J80" s="45"/>
      <c r="K80" s="45"/>
      <c r="L80" s="45"/>
      <c r="M80" s="45"/>
      <c r="N80" s="45"/>
      <c r="O80" s="45"/>
    </row>
    <row r="81" ht="12.75" customHeight="1" spans="1:15" x14ac:dyDescent="0.25">
      <c r="A81" s="18">
        <f>A82+1</f>
        <v>2014</v>
      </c>
      <c r="B81" s="79">
        <f>'CPI-U &amp; C-CPI-U Calcs'!$R22</f>
        <v>1.98957981992282</v>
      </c>
      <c r="C81" s="44">
        <f>C$106*$B81</f>
        <v>3979.15963984565</v>
      </c>
      <c r="D81" s="45">
        <f>+TRUNC(C81/50)*50</f>
        <v>3950</v>
      </c>
      <c r="E81" s="55"/>
      <c r="F81" s="18"/>
      <c r="G81" s="79"/>
      <c r="H81" s="45"/>
      <c r="I81" s="45"/>
      <c r="J81" s="45"/>
      <c r="K81" s="45"/>
      <c r="L81" s="45"/>
      <c r="M81" s="45"/>
      <c r="N81" s="45"/>
      <c r="O81" s="45"/>
    </row>
    <row r="82" ht="12.75" customHeight="1" spans="1:15" x14ac:dyDescent="0.25">
      <c r="A82" s="18">
        <f>A83+1</f>
        <v>2013</v>
      </c>
      <c r="B82" s="79">
        <f>'CPI-U &amp; C-CPI-U Calcs'!$R23</f>
        <v>1.95640488780906</v>
      </c>
      <c r="C82" s="44">
        <f>C$106*$B82</f>
        <v>3912.80977561812</v>
      </c>
      <c r="D82" s="45">
        <f>+TRUNC(C82/50)*50</f>
        <v>3900</v>
      </c>
      <c r="E82" s="51"/>
      <c r="F82" s="18"/>
      <c r="G82" s="86"/>
      <c r="H82" s="88"/>
      <c r="I82" s="88"/>
      <c r="J82" s="88"/>
      <c r="K82" s="88"/>
      <c r="L82" s="88"/>
      <c r="M82" s="88"/>
      <c r="N82" s="88"/>
      <c r="O82" s="88"/>
    </row>
    <row r="83" ht="12.75" customHeight="1" spans="1:5" x14ac:dyDescent="0.25">
      <c r="A83" s="18">
        <f>A84+1</f>
        <v>2012</v>
      </c>
      <c r="B83" s="79">
        <f>'CPI-U &amp; C-CPI-U Calcs'!$R24</f>
        <v>1.9073817350293</v>
      </c>
      <c r="C83" s="44">
        <f>C$106*$B83</f>
        <v>3814.7634700586</v>
      </c>
      <c r="D83" s="45">
        <f>+TRUNC(C83/50)*50</f>
        <v>3800</v>
      </c>
      <c r="E83" s="51"/>
    </row>
    <row r="84" ht="12.75" customHeight="1" spans="1:5" x14ac:dyDescent="0.25">
      <c r="A84" s="18">
        <f>A85+1</f>
        <v>2011</v>
      </c>
      <c r="B84" s="79">
        <f>'CPI-U &amp; C-CPI-U Calcs'!$R25</f>
        <v>1.86219737030156</v>
      </c>
      <c r="C84" s="44">
        <f>C$106*$B84</f>
        <v>3724.39474060312</v>
      </c>
      <c r="D84" s="45">
        <f>+TRUNC(C84/50)*50</f>
        <v>3700</v>
      </c>
      <c r="E84" s="53"/>
    </row>
    <row r="85" ht="12.75" customHeight="1" spans="1:5" x14ac:dyDescent="0.25">
      <c r="A85" s="18">
        <f>A86+1</f>
        <v>2010</v>
      </c>
      <c r="B85" s="79">
        <f>'CPI-U &amp; C-CPI-U Calcs'!$R26</f>
        <v>1.83509218236387</v>
      </c>
      <c r="C85" s="44">
        <f>C$106*$B85</f>
        <v>3670.18436472774</v>
      </c>
      <c r="D85" s="45">
        <f>+TRUNC(C85/50)*50</f>
        <v>3650</v>
      </c>
      <c r="E85" s="53"/>
    </row>
    <row r="86" ht="12.75" customHeight="1" spans="1:5" x14ac:dyDescent="0.25">
      <c r="A86" s="18">
        <f>A87+1</f>
        <v>2009</v>
      </c>
      <c r="B86" s="79">
        <f>'CPI-U &amp; C-CPI-U Calcs'!$R27</f>
        <v>1.83168500786051</v>
      </c>
      <c r="C86" s="44">
        <f>C$106*$B86</f>
        <v>3663.37001572102</v>
      </c>
      <c r="D86" s="45">
        <f>+TRUNC(C86/50)*50</f>
        <v>3650</v>
      </c>
      <c r="E86" s="53"/>
    </row>
    <row r="87" ht="12.75" customHeight="1" spans="1:5" x14ac:dyDescent="0.25">
      <c r="A87" s="18">
        <f>A88+1</f>
        <v>2008</v>
      </c>
      <c r="B87" s="79">
        <f>'CPI-U &amp; C-CPI-U Calcs'!$R28</f>
        <v>1.75680291553523</v>
      </c>
      <c r="C87" s="44">
        <f>C$106*$B87</f>
        <v>3513.60583107046</v>
      </c>
      <c r="D87" s="45">
        <f>+TRUNC(C87/50)*50</f>
        <v>3500</v>
      </c>
      <c r="E87" s="53"/>
    </row>
    <row r="88" ht="12.75" customHeight="1" spans="1:5" x14ac:dyDescent="0.25">
      <c r="A88" s="18">
        <f>A89+1</f>
        <v>2007</v>
      </c>
      <c r="B88" s="79">
        <f>'CPI-U &amp; C-CPI-U Calcs'!$R29</f>
        <v>1.71752179505502</v>
      </c>
      <c r="C88" s="44">
        <f>C$106*$B88</f>
        <v>3435.04359011005</v>
      </c>
      <c r="D88" s="45">
        <f>+TRUNC(C88/50)*50</f>
        <v>3400</v>
      </c>
      <c r="E88" s="53"/>
    </row>
    <row r="89" ht="12.75" customHeight="1" spans="1:5" x14ac:dyDescent="0.25">
      <c r="A89" s="18">
        <f>A90+1</f>
        <v>2006</v>
      </c>
      <c r="B89" s="79">
        <f>'CPI-U &amp; C-CPI-U Calcs'!$R30</f>
        <v>1.65299414034586</v>
      </c>
      <c r="C89" s="44">
        <f>C$106*$B89</f>
        <v>3305.98828069173</v>
      </c>
      <c r="D89" s="45">
        <f>+TRUNC(C89/50)*50</f>
        <v>3300</v>
      </c>
      <c r="E89" s="53"/>
    </row>
    <row r="90" ht="12.75" customHeight="1" spans="1:5" x14ac:dyDescent="0.25">
      <c r="A90" s="18">
        <f>A91+1</f>
        <v>2005</v>
      </c>
      <c r="B90" s="79">
        <f>'CPI-U &amp; C-CPI-U Calcs'!$R31</f>
        <v>1.60318708017722</v>
      </c>
      <c r="C90" s="44">
        <f>C$106*$B90</f>
        <v>3206.37416035444</v>
      </c>
      <c r="D90" s="45">
        <f>+TRUNC(C90/50)*50</f>
        <v>3200</v>
      </c>
      <c r="E90" s="53"/>
    </row>
    <row r="91" ht="12.75" customHeight="1" spans="1:5" x14ac:dyDescent="0.25">
      <c r="A91" s="18">
        <f>A92+1</f>
        <v>2004</v>
      </c>
      <c r="B91" s="79">
        <f>'CPI-U &amp; C-CPI-U Calcs'!$R32</f>
        <v>1.56710018579391</v>
      </c>
      <c r="C91" s="44">
        <f>C$106*$B91</f>
        <v>3134.20037158782</v>
      </c>
      <c r="D91" s="45">
        <f>+TRUNC(C91/50)*50</f>
        <v>3100</v>
      </c>
      <c r="E91" s="53"/>
    </row>
    <row r="92" ht="12.75" customHeight="1" spans="1:5" x14ac:dyDescent="0.25">
      <c r="A92" s="18">
        <f>A93+1</f>
        <v>2003</v>
      </c>
      <c r="B92" s="79">
        <f>'CPI-U &amp; C-CPI-U Calcs'!$R33</f>
        <v>1.53215663855938</v>
      </c>
      <c r="C92" s="44">
        <f>C$106*$B92</f>
        <v>3064.31327711876</v>
      </c>
      <c r="D92" s="45">
        <f>+TRUNC(C92/50)*50</f>
        <v>3050</v>
      </c>
      <c r="E92" s="53"/>
    </row>
    <row r="93" ht="12.75" customHeight="1" spans="1:5" x14ac:dyDescent="0.25">
      <c r="A93" s="18">
        <f>A94+1</f>
        <v>2002</v>
      </c>
      <c r="B93" s="79">
        <f>'CPI-U &amp; C-CPI-U Calcs'!$R34</f>
        <v>1.50814634843504</v>
      </c>
      <c r="C93" s="44">
        <f>C$106*$B93</f>
        <v>3016.29269687009</v>
      </c>
      <c r="D93" s="45">
        <f>+TRUNC(C93/50)*50</f>
        <v>3000</v>
      </c>
      <c r="E93" s="53"/>
    </row>
    <row r="94" ht="12.75" customHeight="1" spans="1:5" x14ac:dyDescent="0.25">
      <c r="A94" s="18">
        <f>A95+1</f>
        <v>2001</v>
      </c>
      <c r="B94" s="79">
        <f>'CPI-U &amp; C-CPI-U Calcs'!$R35</f>
        <v>1.46012576818637</v>
      </c>
      <c r="C94" s="44">
        <f>C$106*$B94</f>
        <v>2920.25153637273</v>
      </c>
      <c r="D94" s="45">
        <f>+TRUNC(C94/50)*50</f>
        <v>2900</v>
      </c>
      <c r="E94" s="53"/>
    </row>
    <row r="95" ht="12.75" customHeight="1" spans="1:5" x14ac:dyDescent="0.25">
      <c r="A95" s="18">
        <f>A96+1</f>
        <v>2000</v>
      </c>
      <c r="B95" s="79">
        <f>'CPI-U &amp; C-CPI-U Calcs'!$R36</f>
        <v>1.41610690295841</v>
      </c>
      <c r="C95" s="44">
        <f>C$106*$B95</f>
        <v>2832.21380591682</v>
      </c>
      <c r="D95" s="45">
        <f>+TRUNC(C95/50)*50</f>
        <v>2800</v>
      </c>
      <c r="E95" s="53"/>
    </row>
    <row r="96" ht="12.75" customHeight="1" spans="1:10" x14ac:dyDescent="0.25">
      <c r="A96" s="18">
        <f>A97+1</f>
        <v>1999</v>
      </c>
      <c r="B96" s="79">
        <f>'CPI-U &amp; C-CPI-U Calcs'!$R37</f>
        <v>1.3907388880949</v>
      </c>
      <c r="C96" s="44">
        <f>C$106*$B96</f>
        <v>2781.4777761898</v>
      </c>
      <c r="D96" s="45">
        <f>+TRUNC(C96/50)*50</f>
        <v>2750</v>
      </c>
      <c r="E96" s="53"/>
      <c r="F96" s="90"/>
      <c r="G96" s="90"/>
      <c r="H96" s="90"/>
      <c r="I96" s="90"/>
      <c r="J96" s="89"/>
    </row>
    <row r="97" ht="12.75" customHeight="1" spans="1:10" x14ac:dyDescent="0.25">
      <c r="A97" s="18">
        <f>A98+1</f>
        <v>1998</v>
      </c>
      <c r="B97" s="79">
        <f>'CPI-U &amp; C-CPI-U Calcs'!$R38</f>
        <v>1.36765756752894</v>
      </c>
      <c r="C97" s="44">
        <f>C$106*$B97</f>
        <v>2735.31513505788</v>
      </c>
      <c r="D97" s="45">
        <f>+TRUNC(C97/50)*50</f>
        <v>2700</v>
      </c>
      <c r="E97" s="53"/>
      <c r="F97" s="90"/>
      <c r="G97" s="90"/>
      <c r="H97" s="90"/>
      <c r="I97" s="90"/>
      <c r="J97" s="89"/>
    </row>
    <row r="98" ht="12.75" customHeight="1" spans="1:10" x14ac:dyDescent="0.25">
      <c r="A98" s="18">
        <f>A99+1</f>
        <v>1997</v>
      </c>
      <c r="B98" s="79">
        <f>'CPI-U &amp; C-CPI-U Calcs'!$R39</f>
        <v>1.33121337716164</v>
      </c>
      <c r="C98" s="44">
        <f>C$106*$B98</f>
        <v>2662.42675432328</v>
      </c>
      <c r="D98" s="45">
        <f>+TRUNC(C98/50)*50</f>
        <v>2650</v>
      </c>
      <c r="E98" s="53"/>
      <c r="F98" s="90"/>
      <c r="G98" s="90"/>
      <c r="H98" s="90"/>
      <c r="I98" s="90"/>
      <c r="J98" s="89"/>
    </row>
    <row r="99" ht="12.75" customHeight="1" spans="1:10" x14ac:dyDescent="0.25">
      <c r="A99" s="18">
        <f>A100+1</f>
        <v>1996</v>
      </c>
      <c r="B99" s="79">
        <f>'CPI-U &amp; C-CPI-U Calcs'!$R40</f>
        <v>1.29548377876233</v>
      </c>
      <c r="C99" s="44">
        <f>C$106*$B99</f>
        <v>2590.96755752465</v>
      </c>
      <c r="D99" s="45">
        <f>+TRUNC(C99/50)*50</f>
        <v>2550</v>
      </c>
      <c r="E99" s="53"/>
      <c r="F99" s="90"/>
      <c r="G99" s="90"/>
      <c r="H99" s="90"/>
      <c r="I99" s="90"/>
      <c r="J99" s="89"/>
    </row>
    <row r="100" ht="12.75" customHeight="1" spans="1:10" x14ac:dyDescent="0.25">
      <c r="A100" s="18">
        <f>A101+1</f>
        <v>1995</v>
      </c>
      <c r="B100" s="79">
        <f>'CPI-U &amp; C-CPI-U Calcs'!$R41</f>
        <v>1.25968272116621</v>
      </c>
      <c r="C100" s="44">
        <f>C$106*$B100</f>
        <v>2519.36544233243</v>
      </c>
      <c r="D100" s="45">
        <f>+TRUNC(C100/50)*50</f>
        <v>2500</v>
      </c>
      <c r="E100" s="53"/>
      <c r="F100" s="90"/>
      <c r="G100" s="90"/>
      <c r="H100" s="90"/>
      <c r="I100" s="90"/>
      <c r="J100" s="89"/>
    </row>
    <row r="101" ht="12.75" customHeight="1" spans="1:10" x14ac:dyDescent="0.25">
      <c r="A101" s="18">
        <f>A102+1</f>
        <v>1994</v>
      </c>
      <c r="B101" s="79">
        <f>'CPI-U &amp; C-CPI-U Calcs'!$R42</f>
        <v>1.22774046019723</v>
      </c>
      <c r="C101" s="44">
        <f>C$106*$B101</f>
        <v>2455.48092039445</v>
      </c>
      <c r="D101" s="45">
        <f>+TRUNC(C101/50)*50</f>
        <v>2450</v>
      </c>
      <c r="E101" s="53"/>
      <c r="F101" s="90"/>
      <c r="G101" s="90"/>
      <c r="H101" s="90"/>
      <c r="I101" s="90"/>
      <c r="J101" s="89"/>
    </row>
    <row r="102" ht="12.75" customHeight="1" spans="1:10" x14ac:dyDescent="0.25">
      <c r="A102" s="18">
        <f>A103+1</f>
        <v>1993</v>
      </c>
      <c r="B102" s="79">
        <f>'CPI-U &amp; C-CPI-U Calcs'!$R43</f>
        <v>1.19129626982993</v>
      </c>
      <c r="C102" s="44">
        <f>C$106*$B102</f>
        <v>2382.59253965985</v>
      </c>
      <c r="D102" s="45">
        <f>+TRUNC(C102/50)*50</f>
        <v>2350</v>
      </c>
      <c r="E102" s="53"/>
      <c r="F102" s="90"/>
      <c r="G102" s="90"/>
      <c r="H102" s="90"/>
      <c r="I102" s="90"/>
      <c r="J102" s="89"/>
    </row>
    <row r="103" ht="12.75" customHeight="1" spans="1:10" x14ac:dyDescent="0.25">
      <c r="A103" s="18">
        <f>A104+1</f>
        <v>1992</v>
      </c>
      <c r="B103" s="79">
        <f>'CPI-U &amp; C-CPI-U Calcs'!$R44</f>
        <v>1.1560668858082</v>
      </c>
      <c r="C103" s="44">
        <f>C$106*$B103</f>
        <v>2312.13377161641</v>
      </c>
      <c r="D103" s="45">
        <f>+TRUNC(C103/50)*50</f>
        <v>2300</v>
      </c>
      <c r="E103" s="53"/>
      <c r="F103" s="90"/>
      <c r="G103" s="90"/>
      <c r="H103" s="90"/>
      <c r="I103" s="90"/>
      <c r="J103" s="89"/>
    </row>
    <row r="104" ht="12.75" customHeight="1" spans="1:10" x14ac:dyDescent="0.25">
      <c r="A104" s="18">
        <f>A105+1</f>
        <v>1991</v>
      </c>
      <c r="B104" s="79">
        <f>'CPI-U &amp; C-CPI-U Calcs'!$R45</f>
        <v>1.09811347720452</v>
      </c>
      <c r="C104" s="44">
        <f>C$106*$B104</f>
        <v>2196.22695440903</v>
      </c>
      <c r="D104" s="45">
        <f>+TRUNC(C104/50)*50</f>
        <v>2150</v>
      </c>
      <c r="E104" s="53"/>
      <c r="F104" s="90"/>
      <c r="G104" s="90"/>
      <c r="H104" s="90"/>
      <c r="I104" s="90"/>
      <c r="J104" s="89"/>
    </row>
    <row r="105" ht="12.75" customHeight="1" spans="1:10" x14ac:dyDescent="0.25">
      <c r="A105" s="18">
        <f>A106+1</f>
        <v>1990</v>
      </c>
      <c r="B105" s="79">
        <f>'CPI-U &amp; C-CPI-U Calcs'!$R46</f>
        <v>1.04744890667429</v>
      </c>
      <c r="C105" s="44">
        <f>C$106*$B105</f>
        <v>2094.89781334858</v>
      </c>
      <c r="D105" s="45">
        <f>+TRUNC(C105/50)*50</f>
        <v>2050</v>
      </c>
      <c r="E105" s="53"/>
      <c r="F105" s="90"/>
      <c r="G105" s="90"/>
      <c r="H105" s="90"/>
      <c r="I105" s="90"/>
      <c r="J105" s="89"/>
    </row>
    <row r="106" ht="12.75" customHeight="1" spans="1:10" x14ac:dyDescent="0.25">
      <c r="A106" s="18">
        <v>1989</v>
      </c>
      <c r="B106" s="96">
        <f>'CPI-U &amp; C-CPI-U Calcs'!$R47</f>
        <v>1</v>
      </c>
      <c r="C106" s="97">
        <v>2000</v>
      </c>
      <c r="D106" s="88">
        <f>+TRUNC(C106/50)*50</f>
        <v>2000</v>
      </c>
      <c r="E106" s="98"/>
      <c r="F106" s="90"/>
      <c r="G106" s="90"/>
      <c r="H106" s="90"/>
      <c r="I106" s="90"/>
      <c r="J106" s="89"/>
    </row>
    <row r="107" ht="12.75" customHeight="1" spans="1:10" x14ac:dyDescent="0.25">
      <c r="A107" s="18"/>
      <c r="B107" s="99"/>
      <c r="C107" s="100"/>
      <c r="D107" s="89"/>
      <c r="E107" s="98"/>
      <c r="F107" s="90"/>
      <c r="G107" s="90"/>
      <c r="H107" s="90"/>
      <c r="I107" s="90"/>
      <c r="J107" s="89"/>
    </row>
    <row r="108" ht="12.75" customHeight="1" spans="1:10" x14ac:dyDescent="0.25">
      <c r="A108" s="18"/>
      <c r="B108" s="53"/>
      <c r="C108" s="45"/>
      <c r="D108" s="45"/>
      <c r="E108" s="15"/>
      <c r="F108" s="15"/>
      <c r="G108" s="15"/>
      <c r="H108" s="15"/>
      <c r="I108" s="15"/>
      <c r="J108" s="15"/>
    </row>
    <row r="109" ht="24.75" customHeight="1" spans="1:1" x14ac:dyDescent="0.25">
      <c r="A109" s="92" t="s">
        <v>163</v>
      </c>
    </row>
    <row r="110" ht="30" customHeight="1" spans="1:10" x14ac:dyDescent="0.25">
      <c r="A110" s="24" t="s">
        <v>6</v>
      </c>
      <c r="B110" s="24" t="s">
        <v>185</v>
      </c>
      <c r="C110" s="40" t="s">
        <v>162</v>
      </c>
      <c r="D110" s="24" t="s">
        <v>187</v>
      </c>
      <c r="E110" s="24" t="s">
        <v>36</v>
      </c>
      <c r="F110" s="24" t="s">
        <v>188</v>
      </c>
      <c r="G110" s="24" t="s">
        <v>37</v>
      </c>
      <c r="H110" s="24" t="s">
        <v>189</v>
      </c>
      <c r="I110" s="24" t="s">
        <v>158</v>
      </c>
      <c r="J110" s="24" t="s">
        <v>190</v>
      </c>
    </row>
    <row r="111" ht="13.5" customHeight="1" spans="1:10" x14ac:dyDescent="0.25">
      <c r="A111" s="27">
        <f>A112+1</f>
        <v>2022</v>
      </c>
      <c r="B111" s="77">
        <f>'CPI-U &amp; C-CPI-U Calcs'!$H14</f>
        <v>1.14687477598894</v>
      </c>
      <c r="C111" s="41">
        <f>C$120*$B111</f>
        <v>344062.432796681</v>
      </c>
      <c r="D111" s="42">
        <f>+TRUNC(C111/50)*50</f>
        <v>344050</v>
      </c>
      <c r="E111" s="42">
        <f>E$120*$B111</f>
        <v>286718.693997234</v>
      </c>
      <c r="F111" s="42">
        <f>+TRUNC(E111/50)*50</f>
        <v>286700</v>
      </c>
      <c r="G111" s="42">
        <f>G$120*$B111</f>
        <v>315390.563396958</v>
      </c>
      <c r="H111" s="42">
        <f>+TRUNC(G111/50)*50</f>
        <v>315350</v>
      </c>
      <c r="I111" s="42">
        <f>I$120*$B111</f>
        <v>172031.216398341</v>
      </c>
      <c r="J111" s="42">
        <f>+TRUNC(I111/25)*25</f>
        <v>172025</v>
      </c>
    </row>
    <row r="112" ht="12.75" customHeight="1" spans="1:10" x14ac:dyDescent="0.25">
      <c r="A112" s="47">
        <f>A113+1</f>
        <v>2021</v>
      </c>
      <c r="B112" s="78">
        <f>'CPI-U &amp; C-CPI-U Calcs'!$H15</f>
        <v>1.11347065629994</v>
      </c>
      <c r="C112" s="48">
        <f>C$120*$B112</f>
        <v>334041.196889982</v>
      </c>
      <c r="D112" s="49">
        <f>+TRUNC(C112/50)*50</f>
        <v>334000</v>
      </c>
      <c r="E112" s="49">
        <f>E$120*$B112</f>
        <v>278367.664074985</v>
      </c>
      <c r="F112" s="49">
        <f>+TRUNC(E112/50)*50</f>
        <v>278350</v>
      </c>
      <c r="G112" s="49">
        <f>G$120*$B112</f>
        <v>306204.430482483</v>
      </c>
      <c r="H112" s="49">
        <f>+TRUNC(G112/50)*50</f>
        <v>306200</v>
      </c>
      <c r="I112" s="49">
        <f>I$120*$B112</f>
        <v>167020.598444991</v>
      </c>
      <c r="J112" s="49">
        <f>+TRUNC(I112/25)*25</f>
        <v>167000</v>
      </c>
    </row>
    <row r="113" ht="12.75" customHeight="1" spans="1:10" x14ac:dyDescent="0.25">
      <c r="A113" s="47">
        <f>A114+1</f>
        <v>2020</v>
      </c>
      <c r="B113" s="78">
        <f>'CPI-U &amp; C-CPI-U Calcs'!$H16</f>
        <v>1.10129081107622</v>
      </c>
      <c r="C113" s="48">
        <f>C$120*$B113</f>
        <v>330387.243322864</v>
      </c>
      <c r="D113" s="49">
        <f>+TRUNC(C113/50)*50</f>
        <v>330350</v>
      </c>
      <c r="E113" s="49">
        <f>E$120*$B113</f>
        <v>275322.702769054</v>
      </c>
      <c r="F113" s="49">
        <f>+TRUNC(E113/50)*50</f>
        <v>275300</v>
      </c>
      <c r="G113" s="49">
        <f>G$120*$B113</f>
        <v>302854.973045959</v>
      </c>
      <c r="H113" s="49">
        <f>+TRUNC(G113/50)*50</f>
        <v>302850</v>
      </c>
      <c r="I113" s="49">
        <f>I$120*$B113</f>
        <v>165193.621661432</v>
      </c>
      <c r="J113" s="49">
        <f>+TRUNC(I113/25)*25</f>
        <v>165175</v>
      </c>
    </row>
    <row r="114" ht="12.75" customHeight="1" spans="1:10" x14ac:dyDescent="0.25">
      <c r="A114" s="47">
        <f>A115+1</f>
        <v>2019</v>
      </c>
      <c r="B114" s="78">
        <f>'CPI-U &amp; C-CPI-U Calcs'!$H17</f>
        <v>1.08447093324674</v>
      </c>
      <c r="C114" s="48">
        <f>C$120*$B114</f>
        <v>325341.279974021</v>
      </c>
      <c r="D114" s="49">
        <f>+TRUNC(C114/50)*50</f>
        <v>325300</v>
      </c>
      <c r="E114" s="49">
        <f>E$120*$B114</f>
        <v>271117.733311684</v>
      </c>
      <c r="F114" s="49">
        <f>+TRUNC(E114/50)*50</f>
        <v>271100</v>
      </c>
      <c r="G114" s="49">
        <f>G$120*$B114</f>
        <v>298229.506642853</v>
      </c>
      <c r="H114" s="49">
        <f>+TRUNC(G114/50)*50</f>
        <v>298200</v>
      </c>
      <c r="I114" s="49">
        <f>I$120*$B114</f>
        <v>162670.639987011</v>
      </c>
      <c r="J114" s="49">
        <f>+TRUNC(I114/25)*25</f>
        <v>162650</v>
      </c>
    </row>
    <row r="115" ht="12.75" customHeight="1" spans="1:10" x14ac:dyDescent="0.25">
      <c r="A115" s="47">
        <f>A116+1</f>
        <v>2018</v>
      </c>
      <c r="B115" s="78">
        <f>'CPI-U &amp; C-CPI-U Calcs'!$H18</f>
        <v>1.06327895120344</v>
      </c>
      <c r="C115" s="48">
        <f>C$120*$B115</f>
        <v>318983.685361031</v>
      </c>
      <c r="D115" s="49">
        <f>+TRUNC(C115/50)*50</f>
        <v>318950</v>
      </c>
      <c r="E115" s="49">
        <f>E$120*$B115</f>
        <v>265819.73780086</v>
      </c>
      <c r="F115" s="49">
        <f>+TRUNC(E115/50)*50</f>
        <v>265800</v>
      </c>
      <c r="G115" s="49">
        <f>G$120*$B115</f>
        <v>292401.711580945</v>
      </c>
      <c r="H115" s="49">
        <f>+TRUNC(G115/50)*50</f>
        <v>292400</v>
      </c>
      <c r="I115" s="49">
        <f>I$120*$B115</f>
        <v>159491.842680516</v>
      </c>
      <c r="J115" s="49">
        <f>+TRUNC(I115/25)*25</f>
        <v>159475</v>
      </c>
    </row>
    <row r="116" ht="12.75" customHeight="1" spans="1:10" x14ac:dyDescent="0.25">
      <c r="A116" s="18">
        <f>A117+1</f>
        <v>2017</v>
      </c>
      <c r="B116" s="79">
        <f>'CPI-U &amp; C-CPI-U Calcs'!$H19</f>
        <v>1.04602064509625</v>
      </c>
      <c r="C116" s="44">
        <f>C$120*$B116</f>
        <v>313806.193528875</v>
      </c>
      <c r="D116" s="45">
        <f>+TRUNC(C116/50)*50</f>
        <v>313800</v>
      </c>
      <c r="E116" s="45">
        <f>E$120*$B116</f>
        <v>261505.161274063</v>
      </c>
      <c r="F116" s="45">
        <f>+TRUNC(E116/50)*50</f>
        <v>261500</v>
      </c>
      <c r="G116" s="45">
        <f>G$120*$B116</f>
        <v>287655.677401469</v>
      </c>
      <c r="H116" s="45">
        <f>+TRUNC(G116/50)*50</f>
        <v>287650</v>
      </c>
      <c r="I116" s="45">
        <f>I$120*$B116</f>
        <v>156903.096764438</v>
      </c>
      <c r="J116" s="45">
        <f>+TRUNC(I116/25)*25</f>
        <v>156900</v>
      </c>
    </row>
    <row r="117" ht="12.75" customHeight="1" spans="1:10" x14ac:dyDescent="0.25">
      <c r="A117" s="18">
        <f>A118+1</f>
        <v>2016</v>
      </c>
      <c r="B117" s="79">
        <f>'CPI-U &amp; C-CPI-U Calcs'!$H20</f>
        <v>1.03769240406415</v>
      </c>
      <c r="C117" s="44">
        <f>C$120*$B117</f>
        <v>311307.721219245</v>
      </c>
      <c r="D117" s="45">
        <f>+TRUNC(C117/50)*50</f>
        <v>311300</v>
      </c>
      <c r="E117" s="45">
        <f>E$120*$B117</f>
        <v>259423.101016037</v>
      </c>
      <c r="F117" s="45">
        <f>+TRUNC(E117/50)*50</f>
        <v>259400</v>
      </c>
      <c r="G117" s="45">
        <f>G$120*$B117</f>
        <v>285365.411117641</v>
      </c>
      <c r="H117" s="45">
        <f>+TRUNC(G117/50)*50</f>
        <v>285350</v>
      </c>
      <c r="I117" s="45">
        <f>I$120*$B117</f>
        <v>155653.860609622</v>
      </c>
      <c r="J117" s="45">
        <f>+TRUNC(I117/25)*25</f>
        <v>155650</v>
      </c>
    </row>
    <row r="118" ht="12.75" customHeight="1" spans="1:10" x14ac:dyDescent="0.25">
      <c r="A118" s="18">
        <f>A119+1</f>
        <v>2015</v>
      </c>
      <c r="B118" s="79">
        <f>'CPI-U &amp; C-CPI-U Calcs'!$H21</f>
        <v>1.0330291588882</v>
      </c>
      <c r="C118" s="44">
        <f>C$120*$B118</f>
        <v>309908.74766646</v>
      </c>
      <c r="D118" s="45">
        <f>+TRUNC(C118/50)*50</f>
        <v>309900</v>
      </c>
      <c r="E118" s="45">
        <f>E$120*$B118</f>
        <v>258257.28972205</v>
      </c>
      <c r="F118" s="45">
        <f>+TRUNC(E118/50)*50</f>
        <v>258250</v>
      </c>
      <c r="G118" s="45">
        <f>G$120*$B118</f>
        <v>284083.018694255</v>
      </c>
      <c r="H118" s="45">
        <f>+TRUNC(G118/50)*50</f>
        <v>284050</v>
      </c>
      <c r="I118" s="45">
        <f>I$120*$B118</f>
        <v>154954.37383323</v>
      </c>
      <c r="J118" s="45">
        <f>+TRUNC(I118/25)*25</f>
        <v>154950</v>
      </c>
    </row>
    <row r="119" ht="12.75" customHeight="1" spans="1:10" x14ac:dyDescent="0.25">
      <c r="A119" s="18">
        <f>A120+1</f>
        <v>2014</v>
      </c>
      <c r="B119" s="79">
        <f>'CPI-U &amp; C-CPI-U Calcs'!$H22</f>
        <v>1.01695708915904</v>
      </c>
      <c r="C119" s="44">
        <f>C$120*$B119</f>
        <v>305087.126747713</v>
      </c>
      <c r="D119" s="45">
        <f>+TRUNC(C119/50)*50</f>
        <v>305050</v>
      </c>
      <c r="E119" s="45">
        <f>E$120*$B119</f>
        <v>254239.27228976</v>
      </c>
      <c r="F119" s="45">
        <f>+TRUNC(E119/50)*50</f>
        <v>254200</v>
      </c>
      <c r="G119" s="45">
        <f>G$120*$B119</f>
        <v>279663.199518736</v>
      </c>
      <c r="H119" s="45">
        <f>+TRUNC(G119/50)*50</f>
        <v>279650</v>
      </c>
      <c r="I119" s="45">
        <f>I$120*$B119</f>
        <v>152543.563373856</v>
      </c>
      <c r="J119" s="45">
        <f>+TRUNC(I119/25)*25</f>
        <v>152525</v>
      </c>
    </row>
    <row r="120" ht="12.75" customHeight="1" spans="1:10" x14ac:dyDescent="0.25">
      <c r="A120" s="18">
        <v>2013</v>
      </c>
      <c r="B120" s="86">
        <f>'CPI-U &amp; C-CPI-U Calcs'!$H23</f>
        <v>1</v>
      </c>
      <c r="C120" s="87">
        <v>300000</v>
      </c>
      <c r="D120" s="88">
        <f>+TRUNC(C120/50)*50</f>
        <v>300000</v>
      </c>
      <c r="E120" s="88">
        <v>250000</v>
      </c>
      <c r="F120" s="88">
        <f>+TRUNC(E120/50)*50</f>
        <v>250000</v>
      </c>
      <c r="G120" s="88">
        <v>275000</v>
      </c>
      <c r="H120" s="88">
        <f>+TRUNC(G120/50)*50</f>
        <v>275000</v>
      </c>
      <c r="I120" s="88">
        <v>150000</v>
      </c>
      <c r="J120" s="88">
        <f>+TRUNC(I120/50)*50</f>
        <v>150000</v>
      </c>
    </row>
    <row r="121" ht="12.75" customHeight="1" spans="1:10" x14ac:dyDescent="0.25">
      <c r="A121" s="18"/>
      <c r="B121" s="53"/>
      <c r="C121" s="45"/>
      <c r="D121" s="45"/>
      <c r="E121" s="15"/>
      <c r="F121" s="15"/>
      <c r="G121" s="15"/>
      <c r="H121" s="15"/>
      <c r="I121" s="15"/>
      <c r="J121" s="15"/>
    </row>
    <row r="123" ht="24.75" customHeight="1" spans="1:10" x14ac:dyDescent="0.25">
      <c r="A123" s="92" t="s">
        <v>165</v>
      </c>
      <c r="B123" s="53"/>
      <c r="C123" s="45"/>
      <c r="D123" s="45"/>
      <c r="E123" s="15"/>
      <c r="F123" s="15"/>
      <c r="G123" s="15"/>
      <c r="H123" s="15"/>
      <c r="I123" s="15"/>
      <c r="J123" s="15"/>
    </row>
    <row r="124" ht="30" customHeight="1" spans="1:10" x14ac:dyDescent="0.25">
      <c r="A124" s="24" t="s">
        <v>6</v>
      </c>
      <c r="B124" s="24" t="s">
        <v>185</v>
      </c>
      <c r="C124" s="40" t="s">
        <v>162</v>
      </c>
      <c r="D124" s="24" t="s">
        <v>187</v>
      </c>
      <c r="E124" s="24" t="s">
        <v>36</v>
      </c>
      <c r="F124" s="24" t="s">
        <v>188</v>
      </c>
      <c r="G124" s="24" t="s">
        <v>37</v>
      </c>
      <c r="H124" s="24" t="s">
        <v>189</v>
      </c>
      <c r="I124" s="24" t="s">
        <v>158</v>
      </c>
      <c r="J124" s="24" t="s">
        <v>190</v>
      </c>
    </row>
    <row r="125" ht="13.5" customHeight="1" spans="1:10" x14ac:dyDescent="0.25">
      <c r="A125" s="27">
        <f>A126+1</f>
        <v>2022</v>
      </c>
      <c r="B125" s="77">
        <f>'CPI-U &amp; C-CPI-U Calcs'!$H14</f>
        <v>1.14687477598894</v>
      </c>
      <c r="C125" s="41">
        <f>C$120*$B125</f>
        <v>344062.432796681</v>
      </c>
      <c r="D125" s="42">
        <f>+TRUNC(C125/50)*50</f>
        <v>344050</v>
      </c>
      <c r="E125" s="42">
        <f>E$120*$B125</f>
        <v>286718.693997234</v>
      </c>
      <c r="F125" s="42">
        <f>+TRUNC(E125/50)*50</f>
        <v>286700</v>
      </c>
      <c r="G125" s="42">
        <f>G$120*$B125</f>
        <v>315390.563396958</v>
      </c>
      <c r="H125" s="42">
        <f>+TRUNC(G125/50)*50</f>
        <v>315350</v>
      </c>
      <c r="I125" s="42">
        <f>I$120*$B125</f>
        <v>172031.216398341</v>
      </c>
      <c r="J125" s="42">
        <f>+TRUNC(I125/25)*25</f>
        <v>172025</v>
      </c>
    </row>
    <row r="126" ht="12.75" customHeight="1" spans="1:10" x14ac:dyDescent="0.25">
      <c r="A126" s="47">
        <f>A127+1</f>
        <v>2021</v>
      </c>
      <c r="B126" s="78">
        <f>'CPI-U &amp; C-CPI-U Calcs'!$H15</f>
        <v>1.11347065629994</v>
      </c>
      <c r="C126" s="48">
        <f>C$120*$B126</f>
        <v>334041.196889982</v>
      </c>
      <c r="D126" s="49">
        <f>+TRUNC(C126/50)*50</f>
        <v>334000</v>
      </c>
      <c r="E126" s="49">
        <f>E$120*$B126</f>
        <v>278367.664074985</v>
      </c>
      <c r="F126" s="49">
        <f>+TRUNC(E126/50)*50</f>
        <v>278350</v>
      </c>
      <c r="G126" s="49">
        <f>G$120*$B126</f>
        <v>306204.430482483</v>
      </c>
      <c r="H126" s="49">
        <f>+TRUNC(G126/50)*50</f>
        <v>306200</v>
      </c>
      <c r="I126" s="49">
        <f>I$120*$B126</f>
        <v>167020.598444991</v>
      </c>
      <c r="J126" s="49">
        <f>+TRUNC(I126/25)*25</f>
        <v>167000</v>
      </c>
    </row>
    <row r="127" ht="12.75" customHeight="1" spans="1:10" x14ac:dyDescent="0.25">
      <c r="A127" s="47">
        <f>A128+1</f>
        <v>2020</v>
      </c>
      <c r="B127" s="78">
        <f>'CPI-U &amp; C-CPI-U Calcs'!$H16</f>
        <v>1.10129081107622</v>
      </c>
      <c r="C127" s="48">
        <f>C$120*$B127</f>
        <v>330387.243322864</v>
      </c>
      <c r="D127" s="49">
        <f>+TRUNC(C127/50)*50</f>
        <v>330350</v>
      </c>
      <c r="E127" s="49">
        <f>E$120*$B127</f>
        <v>275322.702769054</v>
      </c>
      <c r="F127" s="49">
        <f>+TRUNC(E127/50)*50</f>
        <v>275300</v>
      </c>
      <c r="G127" s="49">
        <f>G$120*$B127</f>
        <v>302854.973045959</v>
      </c>
      <c r="H127" s="49">
        <f>+TRUNC(G127/50)*50</f>
        <v>302850</v>
      </c>
      <c r="I127" s="49">
        <f>I$120*$B127</f>
        <v>165193.621661432</v>
      </c>
      <c r="J127" s="49">
        <f>+TRUNC(I127/25)*25</f>
        <v>165175</v>
      </c>
    </row>
    <row r="128" ht="12.75" customHeight="1" spans="1:10" x14ac:dyDescent="0.25">
      <c r="A128" s="47">
        <f>A129+1</f>
        <v>2019</v>
      </c>
      <c r="B128" s="78">
        <f>'CPI-U &amp; C-CPI-U Calcs'!$H17</f>
        <v>1.08447093324674</v>
      </c>
      <c r="C128" s="48">
        <f>C$120*$B128</f>
        <v>325341.279974021</v>
      </c>
      <c r="D128" s="49">
        <f>+TRUNC(C128/50)*50</f>
        <v>325300</v>
      </c>
      <c r="E128" s="49">
        <f>E$120*$B128</f>
        <v>271117.733311684</v>
      </c>
      <c r="F128" s="49">
        <f>+TRUNC(E128/50)*50</f>
        <v>271100</v>
      </c>
      <c r="G128" s="49">
        <f>G$120*$B128</f>
        <v>298229.506642853</v>
      </c>
      <c r="H128" s="49">
        <f>+TRUNC(G128/50)*50</f>
        <v>298200</v>
      </c>
      <c r="I128" s="49">
        <f>I$120*$B128</f>
        <v>162670.639987011</v>
      </c>
      <c r="J128" s="49">
        <f>+TRUNC(I128/25)*25</f>
        <v>162650</v>
      </c>
    </row>
    <row r="129" ht="12.75" customHeight="1" spans="1:10" x14ac:dyDescent="0.25">
      <c r="A129" s="47">
        <f>A130+1</f>
        <v>2018</v>
      </c>
      <c r="B129" s="78">
        <f>'CPI-U &amp; C-CPI-U Calcs'!$H18</f>
        <v>1.06327895120344</v>
      </c>
      <c r="C129" s="48">
        <f>C$120*$B129</f>
        <v>318983.685361031</v>
      </c>
      <c r="D129" s="49">
        <f>+TRUNC(C129/50)*50</f>
        <v>318950</v>
      </c>
      <c r="E129" s="49">
        <f>E$120*$B129</f>
        <v>265819.73780086</v>
      </c>
      <c r="F129" s="49">
        <f>+TRUNC(E129/50)*50</f>
        <v>265800</v>
      </c>
      <c r="G129" s="49">
        <f>G$120*$B129</f>
        <v>292401.711580945</v>
      </c>
      <c r="H129" s="49">
        <f>+TRUNC(G129/50)*50</f>
        <v>292400</v>
      </c>
      <c r="I129" s="49">
        <f>I$120*$B129</f>
        <v>159491.842680516</v>
      </c>
      <c r="J129" s="49">
        <f>+TRUNC(I129/25)*25</f>
        <v>159475</v>
      </c>
    </row>
    <row r="130" ht="12.75" customHeight="1" spans="1:10" x14ac:dyDescent="0.25">
      <c r="A130" s="18">
        <f>A131+1</f>
        <v>2017</v>
      </c>
      <c r="B130" s="79">
        <f>'CPI-U &amp; C-CPI-U Calcs'!$H19</f>
        <v>1.04602064509625</v>
      </c>
      <c r="C130" s="44">
        <f>C$120*$B130</f>
        <v>313806.193528875</v>
      </c>
      <c r="D130" s="45">
        <f>+TRUNC(C130/50)*50</f>
        <v>313800</v>
      </c>
      <c r="E130" s="45">
        <f>E$120*$B130</f>
        <v>261505.161274063</v>
      </c>
      <c r="F130" s="45">
        <f>+TRUNC(E130/50)*50</f>
        <v>261500</v>
      </c>
      <c r="G130" s="45">
        <f>G$120*$B130</f>
        <v>287655.677401469</v>
      </c>
      <c r="H130" s="45">
        <f>+TRUNC(G130/50)*50</f>
        <v>287650</v>
      </c>
      <c r="I130" s="45">
        <f>I$120*$B130</f>
        <v>156903.096764438</v>
      </c>
      <c r="J130" s="45">
        <f>+TRUNC(I130/25)*25</f>
        <v>156900</v>
      </c>
    </row>
    <row r="131" ht="12.75" customHeight="1" spans="1:10" x14ac:dyDescent="0.25">
      <c r="A131" s="18">
        <f>A132+1</f>
        <v>2016</v>
      </c>
      <c r="B131" s="79">
        <f>'CPI-U &amp; C-CPI-U Calcs'!$H20</f>
        <v>1.03769240406415</v>
      </c>
      <c r="C131" s="44">
        <f>C$120*$B131</f>
        <v>311307.721219245</v>
      </c>
      <c r="D131" s="45">
        <f>+TRUNC(C131/50)*50</f>
        <v>311300</v>
      </c>
      <c r="E131" s="45">
        <f>E$120*$B131</f>
        <v>259423.101016037</v>
      </c>
      <c r="F131" s="45">
        <f>+TRUNC(E131/50)*50</f>
        <v>259400</v>
      </c>
      <c r="G131" s="45">
        <f>G$120*$B131</f>
        <v>285365.411117641</v>
      </c>
      <c r="H131" s="45">
        <f>+TRUNC(G131/50)*50</f>
        <v>285350</v>
      </c>
      <c r="I131" s="45">
        <f>I$120*$B131</f>
        <v>155653.860609622</v>
      </c>
      <c r="J131" s="45">
        <f>+TRUNC(I131/25)*25</f>
        <v>155650</v>
      </c>
    </row>
    <row r="132" ht="12.75" customHeight="1" spans="1:10" x14ac:dyDescent="0.25">
      <c r="A132" s="18">
        <f>A133+1</f>
        <v>2015</v>
      </c>
      <c r="B132" s="79">
        <f>'CPI-U &amp; C-CPI-U Calcs'!$H21</f>
        <v>1.0330291588882</v>
      </c>
      <c r="C132" s="44">
        <f>C$120*$B132</f>
        <v>309908.74766646</v>
      </c>
      <c r="D132" s="45">
        <f>+TRUNC(C132/50)*50</f>
        <v>309900</v>
      </c>
      <c r="E132" s="45">
        <f>E$120*$B132</f>
        <v>258257.28972205</v>
      </c>
      <c r="F132" s="45">
        <f>+TRUNC(E132/50)*50</f>
        <v>258250</v>
      </c>
      <c r="G132" s="45">
        <f>G$120*$B132</f>
        <v>284083.018694255</v>
      </c>
      <c r="H132" s="45">
        <f>+TRUNC(G132/50)*50</f>
        <v>284050</v>
      </c>
      <c r="I132" s="45">
        <f>I$120*$B132</f>
        <v>154954.37383323</v>
      </c>
      <c r="J132" s="45">
        <f>+TRUNC(I132/25)*25</f>
        <v>154950</v>
      </c>
    </row>
    <row r="133" ht="12.75" customHeight="1" spans="1:10" x14ac:dyDescent="0.25">
      <c r="A133" s="18">
        <f>A134+1</f>
        <v>2014</v>
      </c>
      <c r="B133" s="79">
        <f>'CPI-U &amp; C-CPI-U Calcs'!$H22</f>
        <v>1.01695708915904</v>
      </c>
      <c r="C133" s="44">
        <f>C$120*$B133</f>
        <v>305087.126747713</v>
      </c>
      <c r="D133" s="45">
        <f>+TRUNC(C133/50)*50</f>
        <v>305050</v>
      </c>
      <c r="E133" s="45">
        <f>E$120*$B133</f>
        <v>254239.27228976</v>
      </c>
      <c r="F133" s="45">
        <f>+TRUNC(E133/50)*50</f>
        <v>254200</v>
      </c>
      <c r="G133" s="45">
        <f>G$120*$B133</f>
        <v>279663.199518736</v>
      </c>
      <c r="H133" s="45">
        <f>+TRUNC(G133/50)*50</f>
        <v>279650</v>
      </c>
      <c r="I133" s="45">
        <f>I$120*$B133</f>
        <v>152543.563373856</v>
      </c>
      <c r="J133" s="45">
        <f>+TRUNC(I133/25)*25</f>
        <v>152525</v>
      </c>
    </row>
    <row r="134" ht="12.75" customHeight="1" spans="1:10" x14ac:dyDescent="0.25">
      <c r="A134" s="18">
        <v>2013</v>
      </c>
      <c r="B134" s="86">
        <f>'CPI-U &amp; C-CPI-U Calcs'!$H23</f>
        <v>1</v>
      </c>
      <c r="C134" s="87">
        <v>300000</v>
      </c>
      <c r="D134" s="88">
        <f>+TRUNC(C134/50)*50</f>
        <v>300000</v>
      </c>
      <c r="E134" s="88">
        <v>250000</v>
      </c>
      <c r="F134" s="88">
        <f>+TRUNC(E134/50)*50</f>
        <v>250000</v>
      </c>
      <c r="G134" s="88">
        <v>275000</v>
      </c>
      <c r="H134" s="88">
        <f>+TRUNC(G134/50)*50</f>
        <v>275000</v>
      </c>
      <c r="I134" s="88">
        <v>150000</v>
      </c>
      <c r="J134" s="88">
        <f>+TRUNC(I134/50)*50</f>
        <v>150000</v>
      </c>
    </row>
    <row r="137" ht="15.75" customHeight="1" spans="1:10" x14ac:dyDescent="0.25">
      <c r="A137" s="91" t="s">
        <v>205</v>
      </c>
      <c r="B137" s="53"/>
      <c r="C137" s="45"/>
      <c r="D137" s="45"/>
      <c r="E137" s="15"/>
      <c r="F137" s="15"/>
      <c r="G137" s="15"/>
      <c r="H137" s="15"/>
      <c r="I137" s="15"/>
      <c r="J137" s="15"/>
    </row>
    <row r="138" ht="30" customHeight="1" spans="1:10" x14ac:dyDescent="0.25">
      <c r="A138" s="24" t="s">
        <v>6</v>
      </c>
      <c r="B138" s="24" t="s">
        <v>185</v>
      </c>
      <c r="C138" s="40" t="s">
        <v>162</v>
      </c>
      <c r="D138" s="24" t="s">
        <v>187</v>
      </c>
      <c r="E138" s="24" t="s">
        <v>36</v>
      </c>
      <c r="F138" s="24" t="s">
        <v>188</v>
      </c>
      <c r="G138" s="24" t="s">
        <v>37</v>
      </c>
      <c r="H138" s="24" t="s">
        <v>189</v>
      </c>
      <c r="I138" s="24" t="s">
        <v>158</v>
      </c>
      <c r="J138" s="24" t="s">
        <v>190</v>
      </c>
    </row>
    <row r="139" ht="13.5" customHeight="1" spans="1:10" x14ac:dyDescent="0.25">
      <c r="A139" s="27">
        <f>A140+1</f>
        <v>2022</v>
      </c>
      <c r="B139" s="101">
        <f>'CPI-U &amp; C-CPI-U Calcs'!$F14</f>
        <v>1.07862078402933</v>
      </c>
      <c r="C139" s="41">
        <f>C$143*$B139</f>
        <v>339765.546969239</v>
      </c>
      <c r="D139" s="42">
        <f>+TRUNC(C139/100)*100</f>
        <v>339700</v>
      </c>
      <c r="E139" s="42">
        <f>E$143*$B139</f>
        <v>169882.77348462</v>
      </c>
      <c r="F139" s="42">
        <f>+TRUNC(E139/100)*100</f>
        <v>169800</v>
      </c>
      <c r="G139" s="42">
        <f>G$143*$B139</f>
        <v>169882.77348462</v>
      </c>
      <c r="H139" s="42">
        <f>+TRUNC(G139/100)*100</f>
        <v>169800</v>
      </c>
      <c r="I139" s="42">
        <f>I$143*$B139</f>
        <v>169882.77348462</v>
      </c>
      <c r="J139" s="42">
        <f>+TRUNC(I139/100)*100</f>
        <v>169800</v>
      </c>
    </row>
    <row r="140" ht="12.75" customHeight="1" spans="1:10" x14ac:dyDescent="0.25">
      <c r="A140" s="18">
        <f>A141+1</f>
        <v>2021</v>
      </c>
      <c r="B140" s="102">
        <f>'CPI-U &amp; C-CPI-U Calcs'!$F15</f>
        <v>1.04720464468867</v>
      </c>
      <c r="C140" s="44">
        <f>C$143*$B140</f>
        <v>329869.463076931</v>
      </c>
      <c r="D140" s="45">
        <f>+TRUNC(C140/100)*100</f>
        <v>329800</v>
      </c>
      <c r="E140" s="45">
        <f>E$143*$B140</f>
        <v>164934.731538466</v>
      </c>
      <c r="F140" s="45">
        <f>+TRUNC(E140/100)*100</f>
        <v>164900</v>
      </c>
      <c r="G140" s="45">
        <f>G$143*$B140</f>
        <v>164934.731538466</v>
      </c>
      <c r="H140" s="45">
        <f>+TRUNC(G140/100)*100</f>
        <v>164900</v>
      </c>
      <c r="I140" s="45">
        <f>I$143*$B140</f>
        <v>164934.731538466</v>
      </c>
      <c r="J140" s="45">
        <f>+TRUNC(I140/25)*25</f>
        <v>164925</v>
      </c>
    </row>
    <row r="141" ht="12.75" customHeight="1" spans="1:10" x14ac:dyDescent="0.25">
      <c r="A141" s="18">
        <f>A142+1</f>
        <v>2020</v>
      </c>
      <c r="B141" s="102">
        <f>'CPI-U &amp; C-CPI-U Calcs'!$F16</f>
        <v>1.03574965894863</v>
      </c>
      <c r="C141" s="44">
        <f>C$143*$B141</f>
        <v>326261.142568818</v>
      </c>
      <c r="D141" s="45">
        <f>+TRUNC(C141/100)*100</f>
        <v>326200</v>
      </c>
      <c r="E141" s="45">
        <f>E$143*$B141</f>
        <v>163130.571284409</v>
      </c>
      <c r="F141" s="45">
        <f>+TRUNC(E141/100)*100</f>
        <v>163100</v>
      </c>
      <c r="G141" s="45">
        <f>G$143*$B141</f>
        <v>163130.571284409</v>
      </c>
      <c r="H141" s="45">
        <f>+TRUNC(G141/100)*100</f>
        <v>163100</v>
      </c>
      <c r="I141" s="45">
        <f>I$143*$B141</f>
        <v>163130.571284409</v>
      </c>
      <c r="J141" s="45">
        <f>+TRUNC(I141/25)*25</f>
        <v>163125</v>
      </c>
    </row>
    <row r="142" ht="12.75" customHeight="1" spans="1:10" x14ac:dyDescent="0.25">
      <c r="A142" s="18">
        <f>A143+1</f>
        <v>2019</v>
      </c>
      <c r="B142" s="102">
        <f>'CPI-U &amp; C-CPI-U Calcs'!$F17</f>
        <v>1.01993078299849</v>
      </c>
      <c r="C142" s="44">
        <f>C$143*$B142</f>
        <v>321278.196644525</v>
      </c>
      <c r="D142" s="45">
        <f>+TRUNC(C142/100)*100</f>
        <v>321200</v>
      </c>
      <c r="E142" s="45">
        <f>E$143*$B142</f>
        <v>160639.098322262</v>
      </c>
      <c r="F142" s="45">
        <f>+TRUNC(E142/100)*100</f>
        <v>160600</v>
      </c>
      <c r="G142" s="45">
        <f>G$143*$B142</f>
        <v>160639.098322262</v>
      </c>
      <c r="H142" s="45">
        <f>+TRUNC(G142/100)*100</f>
        <v>160600</v>
      </c>
      <c r="I142" s="45">
        <f>I$143*$B142</f>
        <v>160639.098322262</v>
      </c>
      <c r="J142" s="45">
        <f>+TRUNC(I142/25)*25</f>
        <v>160625</v>
      </c>
    </row>
    <row r="143" ht="12.75" customHeight="1" spans="1:10" x14ac:dyDescent="0.25">
      <c r="A143" s="18">
        <v>2018</v>
      </c>
      <c r="B143" s="103">
        <f>'CPI-U &amp; C-CPI-U Calcs'!$F18</f>
        <v>1</v>
      </c>
      <c r="C143" s="87">
        <v>315000</v>
      </c>
      <c r="D143" s="88">
        <f>+TRUNC(C143/100)*100</f>
        <v>315000</v>
      </c>
      <c r="E143" s="88">
        <v>157500</v>
      </c>
      <c r="F143" s="88">
        <f>+TRUNC(E143/100)*100</f>
        <v>157500</v>
      </c>
      <c r="G143" s="88">
        <v>157500</v>
      </c>
      <c r="H143" s="88">
        <f>+TRUNC(G143/100)*100</f>
        <v>157500</v>
      </c>
      <c r="I143" s="88">
        <v>157500</v>
      </c>
      <c r="J143" s="88">
        <f>+TRUNC(I143/25)*25</f>
        <v>157500</v>
      </c>
    </row>
    <row r="144" ht="12.75" customHeight="1" spans="1:10" x14ac:dyDescent="0.25">
      <c r="A144" s="18"/>
      <c r="B144" s="86"/>
      <c r="C144" s="88"/>
      <c r="D144" s="88"/>
      <c r="E144" s="88"/>
      <c r="F144" s="88"/>
      <c r="G144" s="88"/>
      <c r="H144" s="88"/>
      <c r="I144" s="88"/>
      <c r="J144" s="88"/>
    </row>
    <row r="145" ht="12.75" customHeight="1" spans="1:10" x14ac:dyDescent="0.25">
      <c r="A145" s="18"/>
      <c r="B145" s="86"/>
      <c r="C145" s="88"/>
      <c r="D145" s="88"/>
      <c r="E145" s="88"/>
      <c r="F145" s="88"/>
      <c r="G145" s="88"/>
      <c r="H145" s="88"/>
      <c r="I145" s="88"/>
      <c r="J145" s="88"/>
    </row>
    <row r="147" ht="24.75" customHeight="1" spans="1:21" x14ac:dyDescent="0.25">
      <c r="A147" s="91" t="s">
        <v>206</v>
      </c>
      <c r="B147" s="53"/>
      <c r="C147" s="45"/>
      <c r="D147" s="45"/>
      <c r="E147" s="15"/>
      <c r="F147" s="15"/>
      <c r="G147" s="15"/>
      <c r="H147" s="15"/>
      <c r="I147" s="15"/>
      <c r="J147" s="15"/>
      <c r="L147" s="92" t="s">
        <v>207</v>
      </c>
      <c r="M147" s="53"/>
      <c r="N147" s="45"/>
      <c r="O147" s="45"/>
      <c r="P147" s="15"/>
      <c r="Q147" s="15"/>
      <c r="R147" s="15"/>
      <c r="S147" s="15"/>
      <c r="T147" s="15"/>
      <c r="U147" s="15"/>
    </row>
    <row r="148" ht="26.25" customHeight="1" spans="1:21" x14ac:dyDescent="0.25">
      <c r="A148" s="24" t="s">
        <v>6</v>
      </c>
      <c r="B148" s="24" t="s">
        <v>185</v>
      </c>
      <c r="C148" s="40" t="s">
        <v>162</v>
      </c>
      <c r="D148" s="24" t="s">
        <v>187</v>
      </c>
      <c r="E148" s="24" t="s">
        <v>36</v>
      </c>
      <c r="F148" s="24" t="s">
        <v>188</v>
      </c>
      <c r="G148" s="24" t="s">
        <v>37</v>
      </c>
      <c r="H148" s="24" t="s">
        <v>189</v>
      </c>
      <c r="I148" s="24" t="s">
        <v>158</v>
      </c>
      <c r="J148" s="24" t="s">
        <v>190</v>
      </c>
      <c r="L148" s="24" t="s">
        <v>6</v>
      </c>
      <c r="M148" s="24" t="s">
        <v>185</v>
      </c>
      <c r="N148" s="40" t="s">
        <v>162</v>
      </c>
      <c r="O148" s="24" t="s">
        <v>187</v>
      </c>
      <c r="P148" s="24" t="s">
        <v>36</v>
      </c>
      <c r="Q148" s="24" t="s">
        <v>188</v>
      </c>
      <c r="R148" s="24" t="s">
        <v>37</v>
      </c>
      <c r="S148" s="24" t="s">
        <v>189</v>
      </c>
      <c r="T148" s="24" t="s">
        <v>158</v>
      </c>
      <c r="U148" s="24" t="s">
        <v>190</v>
      </c>
    </row>
    <row r="149" ht="13.5" customHeight="1" spans="1:21" x14ac:dyDescent="0.25">
      <c r="A149" s="27">
        <f>A150+1</f>
        <v>2022</v>
      </c>
      <c r="B149" s="101">
        <f>'CPI-U &amp; C-CPI-U Calcs'!$F14</f>
        <v>1.07862078402933</v>
      </c>
      <c r="C149" s="41">
        <f>C$153*$B149</f>
        <v>118001.113772809</v>
      </c>
      <c r="D149" s="42">
        <f>MROUND(C149,100)</f>
        <v>118000</v>
      </c>
      <c r="E149" s="42">
        <f>E$153*$B149</f>
        <v>75827.041117262</v>
      </c>
      <c r="F149" s="42">
        <f>MROUND(E149,100)</f>
        <v>75800</v>
      </c>
      <c r="G149" s="42">
        <f>G$153*$B149</f>
        <v>75827.041117262</v>
      </c>
      <c r="H149" s="42">
        <f>MROUND(G149,100)</f>
        <v>75800</v>
      </c>
      <c r="I149" s="42">
        <f>I$153*$B149</f>
        <v>59000.5568864044</v>
      </c>
      <c r="J149" s="42">
        <f>MROUND(I149,50)</f>
        <v>59000</v>
      </c>
      <c r="L149" s="27">
        <f>L150+1</f>
        <v>2022</v>
      </c>
      <c r="M149" s="101">
        <f>'CPI-U &amp; C-CPI-U Calcs'!$I14</f>
        <v>1.1763515274593</v>
      </c>
      <c r="N149" s="41">
        <f>N$159*$M149</f>
        <v>92637.6827874197</v>
      </c>
      <c r="O149" s="42">
        <f>MROUND(N149,100)</f>
        <v>92600</v>
      </c>
      <c r="P149" s="42">
        <f>P$159*$M149</f>
        <v>59523.3872894404</v>
      </c>
      <c r="Q149" s="42">
        <f>MROUND(P149,100)</f>
        <v>59500</v>
      </c>
      <c r="R149" s="42">
        <f>R$159*$M149</f>
        <v>59523.3872894404</v>
      </c>
      <c r="S149" s="42">
        <f>MROUND(R149,100)</f>
        <v>59500</v>
      </c>
      <c r="T149" s="42">
        <f>T$159*$M149</f>
        <v>46318.8413937098</v>
      </c>
      <c r="U149" s="42">
        <f>MROUND(T149,50)</f>
        <v>46300</v>
      </c>
    </row>
    <row r="150" ht="13.5" customHeight="1" spans="1:21" x14ac:dyDescent="0.25">
      <c r="A150" s="18">
        <f>A151+1</f>
        <v>2021</v>
      </c>
      <c r="B150" s="102">
        <f>'CPI-U &amp; C-CPI-U Calcs'!$F15</f>
        <v>1.04720464468867</v>
      </c>
      <c r="C150" s="44">
        <f>C$153*$B150</f>
        <v>114564.188128941</v>
      </c>
      <c r="D150" s="45">
        <f>MROUND(C150,100)</f>
        <v>114600</v>
      </c>
      <c r="E150" s="45">
        <f>E$153*$B150</f>
        <v>73618.4865216136</v>
      </c>
      <c r="F150" s="45">
        <f>MROUND(E150,100)</f>
        <v>73600</v>
      </c>
      <c r="G150" s="45">
        <f>G$153*$B150</f>
        <v>73618.4865216136</v>
      </c>
      <c r="H150" s="45">
        <f>MROUND(G150,100)</f>
        <v>73600</v>
      </c>
      <c r="I150" s="45">
        <f>I$153*$B150</f>
        <v>57282.0940644703</v>
      </c>
      <c r="J150" s="45">
        <f>MROUND(I150,50)</f>
        <v>57300</v>
      </c>
      <c r="L150" s="47">
        <f>L151+1</f>
        <v>2021</v>
      </c>
      <c r="M150" s="104">
        <f>'CPI-U &amp; C-CPI-U Calcs'!$I15</f>
        <v>1.14208886161097</v>
      </c>
      <c r="N150" s="48">
        <f>N$159*$M150</f>
        <v>89939.4978518637</v>
      </c>
      <c r="O150" s="49">
        <f>MROUND(N150,100)</f>
        <v>89900</v>
      </c>
      <c r="P150" s="49">
        <f>P$159*$M150</f>
        <v>57789.696397515</v>
      </c>
      <c r="Q150" s="49">
        <f>MROUND(P150,100)</f>
        <v>57800</v>
      </c>
      <c r="R150" s="49">
        <f>R$159*$M150</f>
        <v>57789.696397515</v>
      </c>
      <c r="S150" s="49">
        <f>MROUND(R150,100)</f>
        <v>57800</v>
      </c>
      <c r="T150" s="49">
        <f>T$159*$M150</f>
        <v>44969.7489259319</v>
      </c>
      <c r="U150" s="49">
        <f>MROUND(T150,50)</f>
        <v>44950</v>
      </c>
    </row>
    <row r="151" ht="13.5" customHeight="1" spans="1:21" x14ac:dyDescent="0.25">
      <c r="A151" s="18">
        <f>A152+1</f>
        <v>2020</v>
      </c>
      <c r="B151" s="102">
        <f>'CPI-U &amp; C-CPI-U Calcs'!$F16</f>
        <v>1.03574965894863</v>
      </c>
      <c r="C151" s="44">
        <f>C$153*$B151</f>
        <v>113311.01268898</v>
      </c>
      <c r="D151" s="45">
        <f>MROUND(C151,100)</f>
        <v>113300</v>
      </c>
      <c r="E151" s="45">
        <f>E$153*$B151</f>
        <v>72813.2010240885</v>
      </c>
      <c r="F151" s="45">
        <f>MROUND(E151,100)</f>
        <v>72800</v>
      </c>
      <c r="G151" s="45">
        <f>G$153*$B151</f>
        <v>72813.2010240885</v>
      </c>
      <c r="H151" s="45">
        <f>MROUND(G151,100)</f>
        <v>72800</v>
      </c>
      <c r="I151" s="45">
        <f>I$153*$B151</f>
        <v>56655.5063444899</v>
      </c>
      <c r="J151" s="45">
        <f>MROUND(I151,50)</f>
        <v>56650</v>
      </c>
      <c r="L151" s="47">
        <f>L152+1</f>
        <v>2020</v>
      </c>
      <c r="M151" s="104">
        <f>'CPI-U &amp; C-CPI-U Calcs'!$I16</f>
        <v>1.12959597238443</v>
      </c>
      <c r="N151" s="48">
        <f>N$159*$M151</f>
        <v>88955.6828252735</v>
      </c>
      <c r="O151" s="49">
        <f>MROUND(N151,100)</f>
        <v>89000</v>
      </c>
      <c r="P151" s="49">
        <f>P$159*$M151</f>
        <v>57157.5562026519</v>
      </c>
      <c r="Q151" s="49">
        <f>MROUND(P151,100)</f>
        <v>57200</v>
      </c>
      <c r="R151" s="49">
        <f>R$159*$M151</f>
        <v>57157.5562026519</v>
      </c>
      <c r="S151" s="49">
        <f>MROUND(R151,100)</f>
        <v>57200</v>
      </c>
      <c r="T151" s="49">
        <f>T$159*$M151</f>
        <v>44477.8414126368</v>
      </c>
      <c r="U151" s="49">
        <f>MROUND(T151,50)</f>
        <v>44500</v>
      </c>
    </row>
    <row r="152" ht="13.5" customHeight="1" spans="1:21" x14ac:dyDescent="0.25">
      <c r="A152" s="18">
        <f>A153+1</f>
        <v>2019</v>
      </c>
      <c r="B152" s="102">
        <f>'CPI-U &amp; C-CPI-U Calcs'!$F17</f>
        <v>1.01993078299849</v>
      </c>
      <c r="C152" s="44">
        <f>C$153*$B152</f>
        <v>111580.427660035</v>
      </c>
      <c r="D152" s="45">
        <f>MROUND(C152,100)</f>
        <v>111600</v>
      </c>
      <c r="E152" s="45">
        <f>E$153*$B152</f>
        <v>71701.1340447939</v>
      </c>
      <c r="F152" s="45">
        <f>MROUND(E152,100)</f>
        <v>71700</v>
      </c>
      <c r="G152" s="45">
        <f>G$153*$B152</f>
        <v>71701.1340447939</v>
      </c>
      <c r="H152" s="45">
        <f>MROUND(G152,100)</f>
        <v>71700</v>
      </c>
      <c r="I152" s="45">
        <f>I$153*$B152</f>
        <v>55790.2138300175</v>
      </c>
      <c r="J152" s="45">
        <f>MROUND(I152,50)</f>
        <v>55800</v>
      </c>
      <c r="L152" s="47">
        <f>L153+1</f>
        <v>2019</v>
      </c>
      <c r="M152" s="104">
        <f>'CPI-U &amp; C-CPI-U Calcs'!$I17</f>
        <v>1.11234379334045</v>
      </c>
      <c r="N152" s="48">
        <f>N$159*$M152</f>
        <v>87597.0737255601</v>
      </c>
      <c r="O152" s="49">
        <f>MROUND(N152,100)</f>
        <v>87600</v>
      </c>
      <c r="P152" s="49">
        <f>P$159*$M152</f>
        <v>56284.5959430266</v>
      </c>
      <c r="Q152" s="49">
        <f>MROUND(P152,100)</f>
        <v>56300</v>
      </c>
      <c r="R152" s="49">
        <f>R$159*$M152</f>
        <v>56284.5959430266</v>
      </c>
      <c r="S152" s="49">
        <f>MROUND(R152,100)</f>
        <v>56300</v>
      </c>
      <c r="T152" s="49">
        <f>T$159*$M152</f>
        <v>43798.5368627801</v>
      </c>
      <c r="U152" s="49">
        <f>MROUND(T152,50)</f>
        <v>43800</v>
      </c>
    </row>
    <row r="153" ht="13.5" customHeight="1" spans="1:21" x14ac:dyDescent="0.25">
      <c r="A153" s="18">
        <v>2018</v>
      </c>
      <c r="B153" s="103">
        <f>'CPI-U &amp; C-CPI-U Calcs'!$F18</f>
        <v>1</v>
      </c>
      <c r="C153" s="87">
        <v>109400</v>
      </c>
      <c r="D153" s="88">
        <f>MROUND(C153,100)</f>
        <v>109400</v>
      </c>
      <c r="E153" s="88">
        <v>70300</v>
      </c>
      <c r="F153" s="88">
        <f>MROUND(E153,100)</f>
        <v>70300</v>
      </c>
      <c r="G153" s="88">
        <v>70300</v>
      </c>
      <c r="H153" s="88">
        <f>MROUND(G153,100)</f>
        <v>70300</v>
      </c>
      <c r="I153" s="88">
        <v>54700</v>
      </c>
      <c r="J153" s="88">
        <f>MROUND(I153,50)</f>
        <v>54700</v>
      </c>
      <c r="L153" s="47">
        <f>L154+1</f>
        <v>2018</v>
      </c>
      <c r="M153" s="104">
        <f>'CPI-U &amp; C-CPI-U Calcs'!$I18</f>
        <v>1.09060713911416</v>
      </c>
      <c r="N153" s="48">
        <f>N$159*$M153</f>
        <v>85885.3122052398</v>
      </c>
      <c r="O153" s="49">
        <f>MROUND(N153,100)</f>
        <v>85900</v>
      </c>
      <c r="P153" s="49">
        <f>P$159*$M153</f>
        <v>55184.7212391763</v>
      </c>
      <c r="Q153" s="49">
        <f>MROUND(P153,100)</f>
        <v>55200</v>
      </c>
      <c r="R153" s="49">
        <f>R$159*$M153</f>
        <v>55184.7212391763</v>
      </c>
      <c r="S153" s="49">
        <f>MROUND(R153,100)</f>
        <v>55200</v>
      </c>
      <c r="T153" s="49">
        <f>T$159*$M153</f>
        <v>42942.6561026199</v>
      </c>
      <c r="U153" s="49">
        <f>MROUND(T153,50)</f>
        <v>42950</v>
      </c>
    </row>
    <row r="154" ht="12.75" customHeight="1" spans="1:21" x14ac:dyDescent="0.25">
      <c r="A154" s="105" t="s">
        <v>208</v>
      </c>
      <c r="B154" s="18"/>
      <c r="C154" s="45"/>
      <c r="D154" s="45"/>
      <c r="E154" s="45"/>
      <c r="F154" s="45"/>
      <c r="G154" s="45"/>
      <c r="H154" s="45"/>
      <c r="I154" s="45"/>
      <c r="J154" s="45"/>
      <c r="K154" s="16" t="s">
        <v>209</v>
      </c>
      <c r="L154" s="18">
        <f>L155+1</f>
        <v>2017</v>
      </c>
      <c r="M154" s="102">
        <f>'CPI-U &amp; C-CPI-U Calcs'!$I19</f>
        <v>1.07290526339451</v>
      </c>
      <c r="N154" s="44">
        <f>N$159*$M154</f>
        <v>84491.2894923179</v>
      </c>
      <c r="O154" s="45">
        <f>MROUND(N154,100)</f>
        <v>84500</v>
      </c>
      <c r="P154" s="45">
        <f>P$159*$M154</f>
        <v>54289.0063277624</v>
      </c>
      <c r="Q154" s="45">
        <f>MROUND(P154,100)</f>
        <v>54300</v>
      </c>
      <c r="R154" s="45">
        <f>R$159*$M154</f>
        <v>54289.0063277624</v>
      </c>
      <c r="S154" s="45">
        <f>MROUND(R154,100)</f>
        <v>54300</v>
      </c>
      <c r="T154" s="45">
        <f>T$159*$M154</f>
        <v>42245.644746159</v>
      </c>
      <c r="U154" s="45">
        <f>MROUND(T154,50)</f>
        <v>42250</v>
      </c>
    </row>
    <row r="155" ht="12.75" customHeight="1" spans="1:21" x14ac:dyDescent="0.25">
      <c r="A155" s="18"/>
      <c r="B155" s="18"/>
      <c r="C155" s="45"/>
      <c r="D155" s="45"/>
      <c r="E155" s="45"/>
      <c r="F155" s="45"/>
      <c r="G155" s="45"/>
      <c r="H155" s="45"/>
      <c r="I155" s="45"/>
      <c r="J155" s="45"/>
      <c r="L155" s="18">
        <f>L156+1</f>
        <v>2016</v>
      </c>
      <c r="M155" s="102">
        <f>'CPI-U &amp; C-CPI-U Calcs'!$I20</f>
        <v>1.06436297153818</v>
      </c>
      <c r="N155" s="44">
        <f>N$159*$M155</f>
        <v>83818.5840086319</v>
      </c>
      <c r="O155" s="45">
        <f>MROUND(N155,100)</f>
        <v>83800</v>
      </c>
      <c r="P155" s="45">
        <f>P$159*$M155</f>
        <v>53856.766359832</v>
      </c>
      <c r="Q155" s="45">
        <f>MROUND(P155,100)</f>
        <v>53900</v>
      </c>
      <c r="R155" s="45">
        <f>R$159*$M155</f>
        <v>53856.766359832</v>
      </c>
      <c r="S155" s="45">
        <f>MROUND(R155,100)</f>
        <v>53900</v>
      </c>
      <c r="T155" s="45">
        <f>T$159*$M155</f>
        <v>41909.2920043159</v>
      </c>
      <c r="U155" s="45">
        <f>MROUND(T155,50)</f>
        <v>41900</v>
      </c>
    </row>
    <row r="156" ht="12.75" customHeight="1" spans="1:21" x14ac:dyDescent="0.25">
      <c r="A156" s="18"/>
      <c r="B156" s="18"/>
      <c r="C156" s="45"/>
      <c r="D156" s="45"/>
      <c r="E156" s="45"/>
      <c r="F156" s="45"/>
      <c r="G156" s="45"/>
      <c r="H156" s="45"/>
      <c r="I156" s="45"/>
      <c r="J156" s="45"/>
      <c r="L156" s="18">
        <f>L157+1</f>
        <v>2015</v>
      </c>
      <c r="M156" s="102">
        <f>'CPI-U &amp; C-CPI-U Calcs'!$I21</f>
        <v>1.0595798725456</v>
      </c>
      <c r="N156" s="44">
        <f>N$159*$M156</f>
        <v>83441.9149629663</v>
      </c>
      <c r="O156" s="45">
        <f>MROUND(N156,100)</f>
        <v>83400</v>
      </c>
      <c r="P156" s="45">
        <f>P$159*$M156</f>
        <v>53614.7415508075</v>
      </c>
      <c r="Q156" s="45">
        <f>MROUND(P156,100)</f>
        <v>53600</v>
      </c>
      <c r="R156" s="45">
        <f>R$159*$M156</f>
        <v>53614.7415508075</v>
      </c>
      <c r="S156" s="45">
        <f>MROUND(R156,100)</f>
        <v>53600</v>
      </c>
      <c r="T156" s="45">
        <f>T$159*$M156</f>
        <v>41720.9574814831</v>
      </c>
      <c r="U156" s="45">
        <f>MROUND(T156,50)</f>
        <v>41700</v>
      </c>
    </row>
    <row r="157" ht="12.75" customHeight="1" spans="1:21" x14ac:dyDescent="0.25">
      <c r="A157" s="18"/>
      <c r="B157" s="18"/>
      <c r="C157" s="45"/>
      <c r="D157" s="45"/>
      <c r="E157" s="45"/>
      <c r="F157" s="45"/>
      <c r="G157" s="45"/>
      <c r="H157" s="45"/>
      <c r="I157" s="45"/>
      <c r="J157" s="45"/>
      <c r="L157" s="18">
        <f>L158+1</f>
        <v>2014</v>
      </c>
      <c r="M157" s="102">
        <f>'CPI-U &amp; C-CPI-U Calcs'!$I22</f>
        <v>1.04309472161967</v>
      </c>
      <c r="N157" s="44">
        <f>N$159*$M157</f>
        <v>82143.7093275488</v>
      </c>
      <c r="O157" s="45">
        <f>MROUND(N157,100)</f>
        <v>82100</v>
      </c>
      <c r="P157" s="45">
        <f>P$159*$M157</f>
        <v>52780.5929139552</v>
      </c>
      <c r="Q157" s="45">
        <f>MROUND(P157,100)</f>
        <v>52800</v>
      </c>
      <c r="R157" s="45">
        <f>R$159*$M157</f>
        <v>52780.5929139552</v>
      </c>
      <c r="S157" s="45">
        <f>MROUND(R157,100)</f>
        <v>52800</v>
      </c>
      <c r="T157" s="45">
        <f>T$159*$M157</f>
        <v>41071.8546637744</v>
      </c>
      <c r="U157" s="45">
        <f>MROUND(T157,50)</f>
        <v>41050</v>
      </c>
    </row>
    <row r="158" ht="12.75" customHeight="1" spans="1:21" x14ac:dyDescent="0.25">
      <c r="A158" s="18"/>
      <c r="B158" s="18"/>
      <c r="C158" s="45"/>
      <c r="D158" s="45"/>
      <c r="E158" s="45"/>
      <c r="F158" s="45"/>
      <c r="G158" s="45"/>
      <c r="H158" s="45"/>
      <c r="I158" s="45"/>
      <c r="J158" s="45"/>
      <c r="L158" s="18">
        <f>L159+1</f>
        <v>2013</v>
      </c>
      <c r="M158" s="102">
        <f>'CPI-U &amp; C-CPI-U Calcs'!$I23</f>
        <v>1.02570180466733</v>
      </c>
      <c r="N158" s="44">
        <f>N$159*$M158</f>
        <v>80774.0171175525</v>
      </c>
      <c r="O158" s="45">
        <f>MROUND(N158,100)</f>
        <v>80800</v>
      </c>
      <c r="P158" s="45">
        <f>P$159*$M158</f>
        <v>51900.5113161671</v>
      </c>
      <c r="Q158" s="45">
        <f>MROUND(P158,100)</f>
        <v>51900</v>
      </c>
      <c r="R158" s="45">
        <f>R$159*$M158</f>
        <v>51900.5113161671</v>
      </c>
      <c r="S158" s="45">
        <f>MROUND(R158,100)</f>
        <v>51900</v>
      </c>
      <c r="T158" s="45">
        <f>T$159*$M158</f>
        <v>40387.0085587763</v>
      </c>
      <c r="U158" s="45">
        <f>MROUND(T158,50)</f>
        <v>40400</v>
      </c>
    </row>
    <row r="159" ht="12.75" customHeight="1" spans="1:21" x14ac:dyDescent="0.25">
      <c r="A159" s="18"/>
      <c r="B159" s="86"/>
      <c r="C159" s="89"/>
      <c r="D159" s="89"/>
      <c r="E159" s="88"/>
      <c r="F159" s="89"/>
      <c r="G159" s="88"/>
      <c r="H159" s="89"/>
      <c r="I159" s="88"/>
      <c r="J159" s="89"/>
      <c r="L159" s="18">
        <v>2012</v>
      </c>
      <c r="M159" s="86">
        <f>'CPI-U &amp; C-CPI-U Calcs'!$I24</f>
        <v>1</v>
      </c>
      <c r="N159" s="87">
        <v>78750</v>
      </c>
      <c r="O159" s="89">
        <f>N159</f>
        <v>78750</v>
      </c>
      <c r="P159" s="88">
        <v>50600</v>
      </c>
      <c r="Q159" s="89">
        <f>P159</f>
        <v>50600</v>
      </c>
      <c r="R159" s="88">
        <v>50600</v>
      </c>
      <c r="S159" s="89">
        <f>R159</f>
        <v>50600</v>
      </c>
      <c r="T159" s="88">
        <v>39375</v>
      </c>
      <c r="U159" s="89">
        <f>T159</f>
        <v>39375</v>
      </c>
    </row>
    <row r="160" ht="12.75" customHeight="1" spans="4:21" x14ac:dyDescent="0.25">
      <c r="D160" s="89"/>
      <c r="E160" s="88"/>
      <c r="F160" s="89"/>
      <c r="G160" s="88"/>
      <c r="H160" s="89"/>
      <c r="I160" s="88"/>
      <c r="J160" s="89"/>
      <c r="L160" s="105" t="s">
        <v>208</v>
      </c>
      <c r="M160" s="106"/>
      <c r="O160" s="89"/>
      <c r="P160" s="88"/>
      <c r="Q160" s="89"/>
      <c r="R160" s="88"/>
      <c r="S160" s="89"/>
      <c r="T160" s="88"/>
      <c r="U160" s="89"/>
    </row>
    <row r="161" ht="12.75" customHeight="1" spans="1:21" x14ac:dyDescent="0.25">
      <c r="A161" s="18"/>
      <c r="B161" s="107"/>
      <c r="C161" s="105"/>
      <c r="D161" s="89"/>
      <c r="E161" s="88"/>
      <c r="F161" s="89"/>
      <c r="G161" s="88"/>
      <c r="H161" s="89"/>
      <c r="I161" s="88"/>
      <c r="J161" s="89"/>
      <c r="L161" s="18"/>
      <c r="M161" s="107"/>
      <c r="N161" s="105"/>
      <c r="O161" s="89"/>
      <c r="P161" s="88"/>
      <c r="Q161" s="89"/>
      <c r="R161" s="88"/>
      <c r="S161" s="89"/>
      <c r="T161" s="88"/>
      <c r="U161" s="89"/>
    </row>
    <row r="163" ht="24.75" customHeight="1" spans="1:21" x14ac:dyDescent="0.25">
      <c r="A163" s="91" t="s">
        <v>210</v>
      </c>
      <c r="B163" s="53"/>
      <c r="C163" s="45"/>
      <c r="D163" s="45"/>
      <c r="E163" s="15"/>
      <c r="F163" s="15"/>
      <c r="G163" s="15"/>
      <c r="H163" s="15"/>
      <c r="I163" s="15"/>
      <c r="J163" s="15"/>
      <c r="L163" s="92" t="s">
        <v>211</v>
      </c>
      <c r="M163" s="53"/>
      <c r="N163" s="45"/>
      <c r="O163" s="45"/>
      <c r="P163" s="15"/>
      <c r="Q163" s="15"/>
      <c r="R163" s="15"/>
      <c r="S163" s="15"/>
      <c r="T163" s="15"/>
      <c r="U163" s="15"/>
    </row>
    <row r="164" ht="26.25" customHeight="1" spans="1:21" x14ac:dyDescent="0.25">
      <c r="A164" s="24" t="s">
        <v>6</v>
      </c>
      <c r="B164" s="24" t="s">
        <v>185</v>
      </c>
      <c r="C164" s="40" t="s">
        <v>162</v>
      </c>
      <c r="D164" s="24" t="s">
        <v>187</v>
      </c>
      <c r="E164" s="24" t="s">
        <v>36</v>
      </c>
      <c r="F164" s="24" t="s">
        <v>188</v>
      </c>
      <c r="G164" s="24" t="s">
        <v>37</v>
      </c>
      <c r="H164" s="24" t="s">
        <v>189</v>
      </c>
      <c r="I164" s="24" t="s">
        <v>158</v>
      </c>
      <c r="J164" s="24" t="s">
        <v>190</v>
      </c>
      <c r="L164" s="24" t="s">
        <v>6</v>
      </c>
      <c r="M164" s="24" t="s">
        <v>185</v>
      </c>
      <c r="N164" s="40" t="s">
        <v>162</v>
      </c>
      <c r="O164" s="24" t="s">
        <v>187</v>
      </c>
      <c r="P164" s="24" t="s">
        <v>36</v>
      </c>
      <c r="Q164" s="24" t="s">
        <v>188</v>
      </c>
      <c r="R164" s="24" t="s">
        <v>37</v>
      </c>
      <c r="S164" s="24" t="s">
        <v>189</v>
      </c>
      <c r="T164" s="24" t="s">
        <v>158</v>
      </c>
      <c r="U164" s="24" t="s">
        <v>190</v>
      </c>
    </row>
    <row r="165" ht="12.75" customHeight="1" spans="1:21" x14ac:dyDescent="0.25">
      <c r="A165" s="27">
        <f>A166+1</f>
        <v>2022</v>
      </c>
      <c r="B165" s="101">
        <f>'CPI-U &amp; C-CPI-U Calcs'!$F14</f>
        <v>1.07862078402933</v>
      </c>
      <c r="C165" s="41">
        <f>C$169*$B165</f>
        <v>1078620.78402933</v>
      </c>
      <c r="D165" s="42">
        <f>MROUND(C165,100)</f>
        <v>1078600</v>
      </c>
      <c r="E165" s="42">
        <f>E$169*$B165</f>
        <v>539310.392014666</v>
      </c>
      <c r="F165" s="42">
        <f>MROUND(E165,100)</f>
        <v>539300</v>
      </c>
      <c r="G165" s="42">
        <f>G$169*$B165</f>
        <v>539310.392014666</v>
      </c>
      <c r="H165" s="42">
        <f>MROUND(G165,100)</f>
        <v>539300</v>
      </c>
      <c r="I165" s="42">
        <f>I$169*$B165</f>
        <v>539310.392014666</v>
      </c>
      <c r="J165" s="42">
        <f>MROUND(I165,50)</f>
        <v>539300</v>
      </c>
      <c r="L165" s="27">
        <f>L166+1</f>
        <v>2022</v>
      </c>
      <c r="M165" s="101">
        <f>'CPI-U &amp; C-CPI-U Calcs'!$I14</f>
        <v>1.1763515274593</v>
      </c>
      <c r="N165" s="41">
        <f>N$175*$M165</f>
        <v>176452.729118895</v>
      </c>
      <c r="O165" s="42">
        <f>MROUND(N165,100)</f>
        <v>176500</v>
      </c>
      <c r="P165" s="42">
        <f>P$175*$M165</f>
        <v>132339.546839171</v>
      </c>
      <c r="Q165" s="42">
        <f>MROUND(P165,100)</f>
        <v>132300</v>
      </c>
      <c r="R165" s="42">
        <f>R$175*$M165</f>
        <v>132339.546839171</v>
      </c>
      <c r="S165" s="42">
        <f>MROUND(R165,100)</f>
        <v>132300</v>
      </c>
      <c r="T165" s="42">
        <f>T$175*$M165</f>
        <v>88226.3645594473</v>
      </c>
      <c r="U165" s="42">
        <f>MROUND(T165,50)</f>
        <v>88250</v>
      </c>
    </row>
    <row r="166" ht="12.75" customHeight="1" spans="1:21" x14ac:dyDescent="0.25">
      <c r="A166" s="18">
        <f>A167+1</f>
        <v>2021</v>
      </c>
      <c r="B166" s="102">
        <f>'CPI-U &amp; C-CPI-U Calcs'!$F15</f>
        <v>1.04720464468867</v>
      </c>
      <c r="C166" s="44">
        <f>C$169*$B166</f>
        <v>1047204.64468867</v>
      </c>
      <c r="D166" s="45">
        <f>MROUND(C166,100)</f>
        <v>1047200</v>
      </c>
      <c r="E166" s="45">
        <f>E$169*$B166</f>
        <v>523602.322344336</v>
      </c>
      <c r="F166" s="45">
        <f>MROUND(E166,100)</f>
        <v>523600</v>
      </c>
      <c r="G166" s="45">
        <f>G$169*$B166</f>
        <v>523602.322344336</v>
      </c>
      <c r="H166" s="45">
        <f>MROUND(G166,100)</f>
        <v>523600</v>
      </c>
      <c r="I166" s="45">
        <f>I$169*$B166</f>
        <v>523602.322344336</v>
      </c>
      <c r="J166" s="45">
        <f>MROUND(I166,50)</f>
        <v>523600</v>
      </c>
      <c r="L166" s="47">
        <f>L167+1</f>
        <v>2021</v>
      </c>
      <c r="M166" s="104">
        <f>'CPI-U &amp; C-CPI-U Calcs'!$I15</f>
        <v>1.14208886161097</v>
      </c>
      <c r="N166" s="48">
        <f>N$175*$M166</f>
        <v>171313.329241645</v>
      </c>
      <c r="O166" s="49">
        <f>MROUND(N166,100)</f>
        <v>171300</v>
      </c>
      <c r="P166" s="49">
        <f>P$175*$M166</f>
        <v>128484.996931234</v>
      </c>
      <c r="Q166" s="49">
        <f>MROUND(P166,100)</f>
        <v>128500</v>
      </c>
      <c r="R166" s="49">
        <f>R$175*$M166</f>
        <v>128484.996931234</v>
      </c>
      <c r="S166" s="49">
        <f>MROUND(R166,100)</f>
        <v>128500</v>
      </c>
      <c r="T166" s="49">
        <f>T$175*$M166</f>
        <v>85656.6646208226</v>
      </c>
      <c r="U166" s="49">
        <f>MROUND(T166,50)</f>
        <v>85650</v>
      </c>
    </row>
    <row r="167" ht="13.5" customHeight="1" spans="1:21" x14ac:dyDescent="0.25">
      <c r="A167" s="18">
        <f>A168+1</f>
        <v>2020</v>
      </c>
      <c r="B167" s="102">
        <f>'CPI-U &amp; C-CPI-U Calcs'!$F16</f>
        <v>1.03574965894863</v>
      </c>
      <c r="C167" s="44">
        <f>C$169*$B167</f>
        <v>1035749.65894863</v>
      </c>
      <c r="D167" s="45">
        <f>MROUND(C167,100)</f>
        <v>1035700</v>
      </c>
      <c r="E167" s="45">
        <f>E$169*$B167</f>
        <v>517874.829474314</v>
      </c>
      <c r="F167" s="45">
        <f>MROUND(E167,100)</f>
        <v>517900</v>
      </c>
      <c r="G167" s="45">
        <f>G$169*$B167</f>
        <v>517874.829474314</v>
      </c>
      <c r="H167" s="45">
        <f>MROUND(G167,100)</f>
        <v>517900</v>
      </c>
      <c r="I167" s="45">
        <f>I$169*$B167</f>
        <v>517874.829474314</v>
      </c>
      <c r="J167" s="45">
        <f>MROUND(I167,50)</f>
        <v>517850</v>
      </c>
      <c r="L167" s="47">
        <f>L168+1</f>
        <v>2020</v>
      </c>
      <c r="M167" s="104">
        <f>'CPI-U &amp; C-CPI-U Calcs'!$I16</f>
        <v>1.12959597238443</v>
      </c>
      <c r="N167" s="48">
        <f>N$175*$M167</f>
        <v>169439.395857664</v>
      </c>
      <c r="O167" s="49">
        <f>MROUND(N167,100)</f>
        <v>169400</v>
      </c>
      <c r="P167" s="49">
        <f>P$175*$M167</f>
        <v>127079.546893248</v>
      </c>
      <c r="Q167" s="49">
        <f>MROUND(P167,100)</f>
        <v>127100</v>
      </c>
      <c r="R167" s="49">
        <f>R$175*$M167</f>
        <v>127079.546893248</v>
      </c>
      <c r="S167" s="49">
        <f>MROUND(R167,100)</f>
        <v>127100</v>
      </c>
      <c r="T167" s="49">
        <f>T$175*$M167</f>
        <v>84719.6979288319</v>
      </c>
      <c r="U167" s="49">
        <f>MROUND(T167,50)</f>
        <v>84700</v>
      </c>
    </row>
    <row r="168" ht="13.5" customHeight="1" spans="1:21" x14ac:dyDescent="0.25">
      <c r="A168" s="18">
        <f>A169+1</f>
        <v>2019</v>
      </c>
      <c r="B168" s="102">
        <f>'CPI-U &amp; C-CPI-U Calcs'!$F17</f>
        <v>1.01993078299849</v>
      </c>
      <c r="C168" s="44">
        <f>C$169*$B168</f>
        <v>1019930.78299849</v>
      </c>
      <c r="D168" s="45">
        <f>MROUND(C168,100)</f>
        <v>1019900</v>
      </c>
      <c r="E168" s="45">
        <f>E$169*$B168</f>
        <v>509965.391499246</v>
      </c>
      <c r="F168" s="45">
        <f>MROUND(E168,100)</f>
        <v>510000</v>
      </c>
      <c r="G168" s="45">
        <f>G$169*$B168</f>
        <v>509965.391499246</v>
      </c>
      <c r="H168" s="45">
        <f>MROUND(G168,100)</f>
        <v>510000</v>
      </c>
      <c r="I168" s="45">
        <f>I$169*$B168</f>
        <v>509965.391499246</v>
      </c>
      <c r="J168" s="45">
        <f>MROUND(I168,50)</f>
        <v>509950</v>
      </c>
      <c r="L168" s="47">
        <f>L169+1</f>
        <v>2019</v>
      </c>
      <c r="M168" s="104">
        <f>'CPI-U &amp; C-CPI-U Calcs'!$I17</f>
        <v>1.11234379334045</v>
      </c>
      <c r="N168" s="48">
        <f>N$175*$M168</f>
        <v>166851.569001067</v>
      </c>
      <c r="O168" s="49">
        <f>MROUND(N168,100)</f>
        <v>166900</v>
      </c>
      <c r="P168" s="49">
        <f>P$175*$M168</f>
        <v>125138.6767508</v>
      </c>
      <c r="Q168" s="49">
        <f>MROUND(P168,100)</f>
        <v>125100</v>
      </c>
      <c r="R168" s="49">
        <f>R$175*$M168</f>
        <v>125138.6767508</v>
      </c>
      <c r="S168" s="49">
        <f>MROUND(R168,100)</f>
        <v>125100</v>
      </c>
      <c r="T168" s="49">
        <f>T$175*$M168</f>
        <v>83425.7845005334</v>
      </c>
      <c r="U168" s="49">
        <f>MROUND(T168,50)</f>
        <v>83450</v>
      </c>
    </row>
    <row r="169" ht="13.5" customHeight="1" spans="1:21" x14ac:dyDescent="0.25">
      <c r="A169" s="18">
        <v>2018</v>
      </c>
      <c r="B169" s="103">
        <f>'CPI-U &amp; C-CPI-U Calcs'!$F18</f>
        <v>1</v>
      </c>
      <c r="C169" s="87">
        <v>1000000</v>
      </c>
      <c r="D169" s="88">
        <f>MROUND(C169,100)</f>
        <v>1000000</v>
      </c>
      <c r="E169" s="88">
        <v>500000</v>
      </c>
      <c r="F169" s="88">
        <f>MROUND(E169,100)</f>
        <v>500000</v>
      </c>
      <c r="G169" s="88">
        <v>500000</v>
      </c>
      <c r="H169" s="88">
        <f>MROUND(G169,100)</f>
        <v>500000</v>
      </c>
      <c r="I169" s="88">
        <v>500000</v>
      </c>
      <c r="J169" s="88">
        <f>MROUND(I169,50)</f>
        <v>500000</v>
      </c>
      <c r="L169" s="47">
        <f>L170+1</f>
        <v>2018</v>
      </c>
      <c r="M169" s="104">
        <f>'CPI-U &amp; C-CPI-U Calcs'!$I18</f>
        <v>1.09060713911416</v>
      </c>
      <c r="N169" s="48">
        <f>N$175*$M169</f>
        <v>163591.070867123</v>
      </c>
      <c r="O169" s="49">
        <f>MROUND(N169,100)</f>
        <v>163600</v>
      </c>
      <c r="P169" s="49">
        <f>P$175*$M169</f>
        <v>122693.303150343</v>
      </c>
      <c r="Q169" s="49">
        <f>MROUND(P169,100)</f>
        <v>122700</v>
      </c>
      <c r="R169" s="49">
        <f>R$175*$M169</f>
        <v>122693.303150343</v>
      </c>
      <c r="S169" s="49">
        <f>MROUND(R169,100)</f>
        <v>122700</v>
      </c>
      <c r="T169" s="49">
        <f>T$175*$M169</f>
        <v>81795.5354335617</v>
      </c>
      <c r="U169" s="49">
        <f>MROUND(T169,50)</f>
        <v>81800</v>
      </c>
    </row>
    <row r="170" ht="12.75" customHeight="1" spans="1:21" x14ac:dyDescent="0.25">
      <c r="A170" s="18"/>
      <c r="B170" s="18"/>
      <c r="C170" s="45"/>
      <c r="D170" s="45"/>
      <c r="E170" s="45"/>
      <c r="F170" s="45"/>
      <c r="G170" s="45"/>
      <c r="H170" s="45"/>
      <c r="I170" s="45"/>
      <c r="J170" s="45"/>
      <c r="L170" s="18">
        <f>L171+1</f>
        <v>2017</v>
      </c>
      <c r="M170" s="102">
        <f>'CPI-U &amp; C-CPI-U Calcs'!$I19</f>
        <v>1.07290526339451</v>
      </c>
      <c r="N170" s="44">
        <f>N$175*$M170</f>
        <v>160935.789509177</v>
      </c>
      <c r="O170" s="45">
        <f>MROUND(N170,100)</f>
        <v>160900</v>
      </c>
      <c r="P170" s="45">
        <f>P$175*$M170</f>
        <v>120701.842131883</v>
      </c>
      <c r="Q170" s="45">
        <f>MROUND(P170,100)</f>
        <v>120700</v>
      </c>
      <c r="R170" s="45">
        <f>R$175*$M170</f>
        <v>120701.842131883</v>
      </c>
      <c r="S170" s="45">
        <f>MROUND(R170,100)</f>
        <v>120700</v>
      </c>
      <c r="T170" s="45">
        <f>T$175*$M170</f>
        <v>80467.8947545885</v>
      </c>
      <c r="U170" s="45">
        <f>MROUND(T170,50)</f>
        <v>80450</v>
      </c>
    </row>
    <row r="171" ht="12.75" customHeight="1" spans="1:21" x14ac:dyDescent="0.25">
      <c r="A171" s="18"/>
      <c r="B171" s="18"/>
      <c r="C171" s="45"/>
      <c r="D171" s="45"/>
      <c r="E171" s="45"/>
      <c r="F171" s="45"/>
      <c r="G171" s="45"/>
      <c r="H171" s="45"/>
      <c r="I171" s="45"/>
      <c r="J171" s="45"/>
      <c r="L171" s="18">
        <f>L172+1</f>
        <v>2016</v>
      </c>
      <c r="M171" s="102">
        <f>'CPI-U &amp; C-CPI-U Calcs'!$I20</f>
        <v>1.06436297153818</v>
      </c>
      <c r="N171" s="44">
        <f>N$175*$M171</f>
        <v>159654.445730727</v>
      </c>
      <c r="O171" s="45">
        <f>MROUND(N171,100)</f>
        <v>159700</v>
      </c>
      <c r="P171" s="45">
        <f>P$175*$M171</f>
        <v>119740.834298045</v>
      </c>
      <c r="Q171" s="45">
        <f>MROUND(P171,100)</f>
        <v>119700</v>
      </c>
      <c r="R171" s="45">
        <f>R$175*$M171</f>
        <v>119740.834298045</v>
      </c>
      <c r="S171" s="45">
        <f>MROUND(R171,100)</f>
        <v>119700</v>
      </c>
      <c r="T171" s="45">
        <f>T$175*$M171</f>
        <v>79827.2228653637</v>
      </c>
      <c r="U171" s="45">
        <f>MROUND(T171,50)</f>
        <v>79850</v>
      </c>
    </row>
    <row r="172" ht="12.75" customHeight="1" spans="1:21" x14ac:dyDescent="0.25">
      <c r="A172" s="18"/>
      <c r="B172" s="18"/>
      <c r="C172" s="45"/>
      <c r="D172" s="45"/>
      <c r="E172" s="45"/>
      <c r="F172" s="45"/>
      <c r="G172" s="45"/>
      <c r="H172" s="45"/>
      <c r="I172" s="45"/>
      <c r="J172" s="45"/>
      <c r="L172" s="18">
        <f>L173+1</f>
        <v>2015</v>
      </c>
      <c r="M172" s="102">
        <f>'CPI-U &amp; C-CPI-U Calcs'!$I21</f>
        <v>1.0595798725456</v>
      </c>
      <c r="N172" s="44">
        <f>N$175*$M172</f>
        <v>158936.980881841</v>
      </c>
      <c r="O172" s="45">
        <f>MROUND(N172,100)</f>
        <v>158900</v>
      </c>
      <c r="P172" s="45">
        <f>P$175*$M172</f>
        <v>119202.73566138</v>
      </c>
      <c r="Q172" s="45">
        <f>MROUND(P172,100)</f>
        <v>119200</v>
      </c>
      <c r="R172" s="45">
        <f>R$175*$M172</f>
        <v>119202.73566138</v>
      </c>
      <c r="S172" s="45">
        <f>MROUND(R172,100)</f>
        <v>119200</v>
      </c>
      <c r="T172" s="45">
        <f>T$175*$M172</f>
        <v>79468.4904409203</v>
      </c>
      <c r="U172" s="45">
        <f>MROUND(T172,50)</f>
        <v>79450</v>
      </c>
    </row>
    <row r="173" ht="12.75" customHeight="1" spans="1:21" x14ac:dyDescent="0.25">
      <c r="A173" s="18"/>
      <c r="B173" s="18"/>
      <c r="C173" s="45"/>
      <c r="D173" s="45"/>
      <c r="E173" s="45"/>
      <c r="F173" s="45"/>
      <c r="G173" s="45"/>
      <c r="H173" s="45"/>
      <c r="I173" s="45"/>
      <c r="J173" s="45"/>
      <c r="L173" s="18">
        <f>L174+1</f>
        <v>2014</v>
      </c>
      <c r="M173" s="102">
        <f>'CPI-U &amp; C-CPI-U Calcs'!$I22</f>
        <v>1.04309472161967</v>
      </c>
      <c r="N173" s="44">
        <f>N$175*$M173</f>
        <v>156464.20824295</v>
      </c>
      <c r="O173" s="45">
        <f>MROUND(N173,100)</f>
        <v>156500</v>
      </c>
      <c r="P173" s="45">
        <f>P$175*$M173</f>
        <v>117348.156182213</v>
      </c>
      <c r="Q173" s="45">
        <f>MROUND(P173,100)</f>
        <v>117300</v>
      </c>
      <c r="R173" s="45">
        <f>R$175*$M173</f>
        <v>117348.156182213</v>
      </c>
      <c r="S173" s="45">
        <f>MROUND(R173,100)</f>
        <v>117300</v>
      </c>
      <c r="T173" s="45">
        <f>T$175*$M173</f>
        <v>78232.104121475</v>
      </c>
      <c r="U173" s="45">
        <f>MROUND(T173,50)</f>
        <v>78250</v>
      </c>
    </row>
    <row r="174" ht="12.75" customHeight="1" spans="1:21" x14ac:dyDescent="0.25">
      <c r="A174" s="18"/>
      <c r="B174" s="18"/>
      <c r="C174" s="45"/>
      <c r="D174" s="45"/>
      <c r="E174" s="45"/>
      <c r="F174" s="45"/>
      <c r="G174" s="45"/>
      <c r="H174" s="45"/>
      <c r="I174" s="45"/>
      <c r="J174" s="45"/>
      <c r="L174" s="18">
        <f>L175+1</f>
        <v>2013</v>
      </c>
      <c r="M174" s="102">
        <f>'CPI-U &amp; C-CPI-U Calcs'!$I23</f>
        <v>1.02570180466733</v>
      </c>
      <c r="N174" s="44">
        <f>N$175*$M174</f>
        <v>153855.2707001</v>
      </c>
      <c r="O174" s="45">
        <f>MROUND(N174,100)</f>
        <v>153900</v>
      </c>
      <c r="P174" s="45">
        <f>P$175*$M174</f>
        <v>115391.453025075</v>
      </c>
      <c r="Q174" s="45">
        <f>MROUND(P174,100)</f>
        <v>115400</v>
      </c>
      <c r="R174" s="45">
        <f>R$175*$M174</f>
        <v>115391.453025075</v>
      </c>
      <c r="S174" s="45">
        <f>MROUND(R174,100)</f>
        <v>115400</v>
      </c>
      <c r="T174" s="45">
        <f>T$175*$M174</f>
        <v>76927.63535005</v>
      </c>
      <c r="U174" s="45">
        <f>MROUND(T174,50)</f>
        <v>76950</v>
      </c>
    </row>
    <row r="175" ht="12.75" customHeight="1" spans="1:21" x14ac:dyDescent="0.25">
      <c r="A175" s="18"/>
      <c r="B175" s="18"/>
      <c r="C175" s="89"/>
      <c r="D175" s="89"/>
      <c r="E175" s="88"/>
      <c r="F175" s="89"/>
      <c r="G175" s="88"/>
      <c r="H175" s="89"/>
      <c r="I175" s="88"/>
      <c r="J175" s="89"/>
      <c r="L175" s="18">
        <v>2012</v>
      </c>
      <c r="M175" s="86">
        <f>'CPI-U &amp; C-CPI-U Calcs'!$I24</f>
        <v>1</v>
      </c>
      <c r="N175" s="87">
        <v>150000</v>
      </c>
      <c r="O175" s="89">
        <f>N175</f>
        <v>150000</v>
      </c>
      <c r="P175" s="88">
        <v>112500</v>
      </c>
      <c r="Q175" s="89">
        <f>P175</f>
        <v>112500</v>
      </c>
      <c r="R175" s="88">
        <v>112500</v>
      </c>
      <c r="S175" s="89">
        <f>R175</f>
        <v>112500</v>
      </c>
      <c r="T175" s="88">
        <v>75000</v>
      </c>
      <c r="U175" s="89">
        <f>T175</f>
        <v>75000</v>
      </c>
    </row>
    <row r="176" ht="12.75" customHeight="1" spans="1:21" x14ac:dyDescent="0.25">
      <c r="A176" s="108"/>
      <c r="B176" s="107"/>
      <c r="C176" s="88"/>
      <c r="D176" s="89"/>
      <c r="E176" s="88"/>
      <c r="F176" s="89"/>
      <c r="G176" s="88"/>
      <c r="H176" s="89"/>
      <c r="I176" s="88"/>
      <c r="J176" s="89"/>
      <c r="L176" s="108"/>
      <c r="M176" s="107"/>
      <c r="N176" s="88"/>
      <c r="O176" s="89"/>
      <c r="P176" s="88"/>
      <c r="Q176" s="89"/>
      <c r="R176" s="88"/>
      <c r="S176" s="89"/>
      <c r="T176" s="88"/>
      <c r="U176" s="89"/>
    </row>
    <row r="178" ht="24.75" customHeight="1" spans="1:21" x14ac:dyDescent="0.25">
      <c r="A178" s="91" t="s">
        <v>212</v>
      </c>
      <c r="B178" s="53"/>
      <c r="C178" s="45"/>
      <c r="D178" s="45"/>
      <c r="E178" s="15"/>
      <c r="F178" s="15"/>
      <c r="G178" s="15"/>
      <c r="H178" s="15"/>
      <c r="I178" s="15"/>
      <c r="J178" s="15"/>
      <c r="L178" s="92" t="s">
        <v>213</v>
      </c>
      <c r="M178" s="53"/>
      <c r="N178" s="45"/>
      <c r="O178" s="45"/>
      <c r="P178" s="15"/>
      <c r="Q178" s="15"/>
      <c r="R178" s="15"/>
      <c r="S178" s="15"/>
      <c r="T178" s="15"/>
      <c r="U178" s="15"/>
    </row>
    <row r="179" ht="26.25" customHeight="1" spans="1:21" x14ac:dyDescent="0.25">
      <c r="A179" s="24" t="s">
        <v>6</v>
      </c>
      <c r="B179" s="24" t="s">
        <v>185</v>
      </c>
      <c r="C179" s="40"/>
      <c r="D179" s="24" t="s">
        <v>162</v>
      </c>
      <c r="E179" s="24"/>
      <c r="F179" s="24" t="s">
        <v>36</v>
      </c>
      <c r="G179" s="24"/>
      <c r="H179" s="24" t="s">
        <v>37</v>
      </c>
      <c r="I179" s="24"/>
      <c r="J179" s="24" t="s">
        <v>158</v>
      </c>
      <c r="L179" s="24" t="s">
        <v>6</v>
      </c>
      <c r="M179" s="24" t="s">
        <v>185</v>
      </c>
      <c r="N179" s="40"/>
      <c r="O179" s="24" t="s">
        <v>162</v>
      </c>
      <c r="P179" s="24"/>
      <c r="Q179" s="24" t="s">
        <v>36</v>
      </c>
      <c r="R179" s="24"/>
      <c r="S179" s="24" t="s">
        <v>37</v>
      </c>
      <c r="T179" s="24"/>
      <c r="U179" s="24" t="s">
        <v>158</v>
      </c>
    </row>
    <row r="180" ht="12.75" customHeight="1" spans="1:21" x14ac:dyDescent="0.25">
      <c r="A180" s="27">
        <f>A181+1</f>
        <v>2022</v>
      </c>
      <c r="B180" s="77">
        <f>'CPI-U &amp; C-CPI-U Calcs'!$F14</f>
        <v>1.07862078402933</v>
      </c>
      <c r="C180" s="41"/>
      <c r="D180" s="42">
        <f>(D149/0.25)+D165</f>
        <v>1550600</v>
      </c>
      <c r="E180" s="42"/>
      <c r="F180" s="42">
        <f>(F149/0.25)+F165</f>
        <v>842500</v>
      </c>
      <c r="G180" s="109"/>
      <c r="H180" s="42">
        <f>(H149/0.25)+H165</f>
        <v>842500</v>
      </c>
      <c r="I180" s="109"/>
      <c r="J180" s="42">
        <f>(J149/0.25)+J165</f>
        <v>775300</v>
      </c>
      <c r="L180" s="27">
        <f>L181+1</f>
        <v>2022</v>
      </c>
      <c r="M180" s="77">
        <f>'CPI-U &amp; C-CPI-U Calcs'!$I14</f>
        <v>1.1763515274593</v>
      </c>
      <c r="N180" s="41"/>
      <c r="O180" s="42">
        <f>(O149/0.25)+O165</f>
        <v>546900</v>
      </c>
      <c r="P180" s="42"/>
      <c r="Q180" s="42">
        <f>(Q149/0.25)+Q165</f>
        <v>370300</v>
      </c>
      <c r="R180" s="109"/>
      <c r="S180" s="42">
        <f>(S149/0.25)+S165</f>
        <v>370300</v>
      </c>
      <c r="T180" s="109"/>
      <c r="U180" s="42">
        <f>(U149/0.25)+U165</f>
        <v>273450</v>
      </c>
    </row>
    <row r="181" ht="12.75" customHeight="1" spans="1:21" x14ac:dyDescent="0.25">
      <c r="A181" s="18">
        <f>A182+1</f>
        <v>2021</v>
      </c>
      <c r="B181" s="79">
        <f>'CPI-U &amp; C-CPI-U Calcs'!$F15</f>
        <v>1.04720464468867</v>
      </c>
      <c r="C181" s="44"/>
      <c r="D181" s="45">
        <f>(D150/0.25)+D166</f>
        <v>1505600</v>
      </c>
      <c r="E181" s="45"/>
      <c r="F181" s="45">
        <f>(F150/0.25)+F166</f>
        <v>818000</v>
      </c>
      <c r="G181" s="110"/>
      <c r="H181" s="45">
        <f>(H150/0.25)+H166</f>
        <v>818000</v>
      </c>
      <c r="I181" s="110"/>
      <c r="J181" s="45">
        <f>(J150/0.25)+J166</f>
        <v>752800</v>
      </c>
      <c r="L181" s="47">
        <f>L182+1</f>
        <v>2021</v>
      </c>
      <c r="M181" s="78">
        <f>'CPI-U &amp; C-CPI-U Calcs'!$I15</f>
        <v>1.14208886161097</v>
      </c>
      <c r="N181" s="48"/>
      <c r="O181" s="49">
        <f>(O150/0.25)+O166</f>
        <v>530900</v>
      </c>
      <c r="P181" s="49"/>
      <c r="Q181" s="49">
        <f>(Q150/0.25)+Q166</f>
        <v>359700</v>
      </c>
      <c r="R181" s="111"/>
      <c r="S181" s="49">
        <f>(S150/0.25)+S166</f>
        <v>359700</v>
      </c>
      <c r="T181" s="111"/>
      <c r="U181" s="49">
        <f>(U150/0.25)+U166</f>
        <v>265450</v>
      </c>
    </row>
    <row r="182" ht="13.5" customHeight="1" spans="1:21" x14ac:dyDescent="0.25">
      <c r="A182" s="18">
        <f>A183+1</f>
        <v>2020</v>
      </c>
      <c r="B182" s="79">
        <f>'CPI-U &amp; C-CPI-U Calcs'!$F16</f>
        <v>1.03574965894863</v>
      </c>
      <c r="C182" s="44"/>
      <c r="D182" s="45">
        <f>(D151/0.25)+D167</f>
        <v>1488900</v>
      </c>
      <c r="E182" s="45"/>
      <c r="F182" s="45">
        <f>(F151/0.25)+F167</f>
        <v>809100</v>
      </c>
      <c r="G182" s="110"/>
      <c r="H182" s="45">
        <f>(H151/0.25)+H167</f>
        <v>809100</v>
      </c>
      <c r="I182" s="110"/>
      <c r="J182" s="45">
        <f>(J151/0.25)+J167</f>
        <v>744450</v>
      </c>
      <c r="L182" s="47">
        <f>L183+1</f>
        <v>2020</v>
      </c>
      <c r="M182" s="78">
        <f>'CPI-U &amp; C-CPI-U Calcs'!$I16</f>
        <v>1.12959597238443</v>
      </c>
      <c r="N182" s="48"/>
      <c r="O182" s="49">
        <f>(O151/0.25)+O167</f>
        <v>525400</v>
      </c>
      <c r="P182" s="49"/>
      <c r="Q182" s="49">
        <f>(Q151/0.25)+Q167</f>
        <v>355900</v>
      </c>
      <c r="R182" s="111"/>
      <c r="S182" s="49">
        <f>(S151/0.25)+S167</f>
        <v>355900</v>
      </c>
      <c r="T182" s="111"/>
      <c r="U182" s="49">
        <f>(U151/0.25)+U167</f>
        <v>262700</v>
      </c>
    </row>
    <row r="183" ht="13.5" customHeight="1" spans="1:21" x14ac:dyDescent="0.25">
      <c r="A183" s="18">
        <f>A184+1</f>
        <v>2019</v>
      </c>
      <c r="B183" s="79">
        <f>'CPI-U &amp; C-CPI-U Calcs'!$F17</f>
        <v>1.01993078299849</v>
      </c>
      <c r="C183" s="44"/>
      <c r="D183" s="45">
        <f>(D152/0.25)+D168</f>
        <v>1466300</v>
      </c>
      <c r="E183" s="45"/>
      <c r="F183" s="45">
        <f>(F152/0.25)+F168</f>
        <v>796800</v>
      </c>
      <c r="G183" s="110"/>
      <c r="H183" s="45">
        <f>(H152/0.25)+H168</f>
        <v>796800</v>
      </c>
      <c r="I183" s="110"/>
      <c r="J183" s="45">
        <f>(J152/0.25)+J168</f>
        <v>733150</v>
      </c>
      <c r="L183" s="47">
        <f>L184+1</f>
        <v>2019</v>
      </c>
      <c r="M183" s="78">
        <f>'CPI-U &amp; C-CPI-U Calcs'!$I17</f>
        <v>1.11234379334045</v>
      </c>
      <c r="N183" s="48"/>
      <c r="O183" s="49">
        <f>(O152/0.25)+O168</f>
        <v>517300</v>
      </c>
      <c r="P183" s="49"/>
      <c r="Q183" s="49">
        <f>(Q152/0.25)+Q168</f>
        <v>350300</v>
      </c>
      <c r="R183" s="111"/>
      <c r="S183" s="49">
        <f>(S152/0.25)+S168</f>
        <v>350300</v>
      </c>
      <c r="T183" s="111"/>
      <c r="U183" s="49">
        <f>(U152/0.25)+U168</f>
        <v>258650</v>
      </c>
    </row>
    <row r="184" ht="13.5" customHeight="1" spans="1:21" x14ac:dyDescent="0.25">
      <c r="A184" s="18">
        <v>2018</v>
      </c>
      <c r="B184" s="96">
        <f>'CPI-U &amp; C-CPI-U Calcs'!$F18</f>
        <v>1</v>
      </c>
      <c r="C184" s="87"/>
      <c r="D184" s="88">
        <f>(D153/0.25)+D169</f>
        <v>1437600</v>
      </c>
      <c r="E184" s="88"/>
      <c r="F184" s="88">
        <f>(F153/0.25)+F169</f>
        <v>781200</v>
      </c>
      <c r="G184" s="88"/>
      <c r="H184" s="88">
        <f>(H153/0.25)+H169</f>
        <v>781200</v>
      </c>
      <c r="I184" s="88"/>
      <c r="J184" s="88">
        <f>(J153/0.25)+J169</f>
        <v>718800</v>
      </c>
      <c r="L184" s="47">
        <f>L185+1</f>
        <v>2018</v>
      </c>
      <c r="M184" s="78">
        <f>'CPI-U &amp; C-CPI-U Calcs'!$I18</f>
        <v>1.09060713911416</v>
      </c>
      <c r="N184" s="48"/>
      <c r="O184" s="49">
        <f>(O153/0.25)+O169</f>
        <v>507200</v>
      </c>
      <c r="P184" s="49"/>
      <c r="Q184" s="49">
        <f>(Q153/0.25)+Q169</f>
        <v>343500</v>
      </c>
      <c r="R184" s="111"/>
      <c r="S184" s="49">
        <f>(S153/0.25)+S169</f>
        <v>343500</v>
      </c>
      <c r="T184" s="111"/>
      <c r="U184" s="49">
        <f>(U153/0.25)+U169</f>
        <v>253600</v>
      </c>
    </row>
    <row r="185" ht="12.75" customHeight="1" spans="1:21" x14ac:dyDescent="0.25">
      <c r="A185" s="112" t="s">
        <v>214</v>
      </c>
      <c r="B185" s="79"/>
      <c r="C185" s="45"/>
      <c r="D185" s="45"/>
      <c r="E185" s="45"/>
      <c r="F185" s="45"/>
      <c r="G185" s="110"/>
      <c r="H185" s="45"/>
      <c r="I185" s="110"/>
      <c r="J185" s="45"/>
      <c r="L185" s="18">
        <f>L186+1</f>
        <v>2017</v>
      </c>
      <c r="M185" s="79">
        <f>'CPI-U &amp; C-CPI-U Calcs'!$I19</f>
        <v>1.07290526339451</v>
      </c>
      <c r="N185" s="44"/>
      <c r="O185" s="45">
        <f>(O154/0.25)+O170</f>
        <v>498900</v>
      </c>
      <c r="P185" s="45"/>
      <c r="Q185" s="45">
        <f>(Q154/0.25)+Q170</f>
        <v>337900</v>
      </c>
      <c r="R185" s="110"/>
      <c r="S185" s="45">
        <f>(S154/0.25)+S170</f>
        <v>337900</v>
      </c>
      <c r="T185" s="110"/>
      <c r="U185" s="45">
        <f>(U154/0.25)+U170</f>
        <v>249450</v>
      </c>
    </row>
    <row r="186" ht="12.75" customHeight="1" spans="1:21" x14ac:dyDescent="0.25">
      <c r="A186" s="18"/>
      <c r="B186" s="79"/>
      <c r="C186" s="45"/>
      <c r="D186" s="45"/>
      <c r="E186" s="45"/>
      <c r="F186" s="45"/>
      <c r="G186" s="110"/>
      <c r="H186" s="45"/>
      <c r="I186" s="110"/>
      <c r="J186" s="45"/>
      <c r="L186" s="18">
        <f>L187+1</f>
        <v>2016</v>
      </c>
      <c r="M186" s="79">
        <f>'CPI-U &amp; C-CPI-U Calcs'!$I20</f>
        <v>1.06436297153818</v>
      </c>
      <c r="N186" s="44"/>
      <c r="O186" s="45">
        <f>(O155/0.25)+O171</f>
        <v>494900</v>
      </c>
      <c r="P186" s="45"/>
      <c r="Q186" s="45">
        <f>(Q155/0.25)+Q171</f>
        <v>335300</v>
      </c>
      <c r="R186" s="110"/>
      <c r="S186" s="45">
        <f>(S155/0.25)+S171</f>
        <v>335300</v>
      </c>
      <c r="T186" s="110"/>
      <c r="U186" s="45">
        <f>(U155/0.25)+U171</f>
        <v>247450</v>
      </c>
    </row>
    <row r="187" ht="12.75" customHeight="1" spans="1:21" x14ac:dyDescent="0.25">
      <c r="A187" s="18"/>
      <c r="B187" s="79"/>
      <c r="C187" s="45"/>
      <c r="D187" s="45"/>
      <c r="E187" s="45"/>
      <c r="F187" s="45"/>
      <c r="G187" s="110"/>
      <c r="H187" s="45"/>
      <c r="I187" s="110"/>
      <c r="J187" s="45"/>
      <c r="L187" s="18">
        <f>L188+1</f>
        <v>2015</v>
      </c>
      <c r="M187" s="79">
        <f>'CPI-U &amp; C-CPI-U Calcs'!$I21</f>
        <v>1.0595798725456</v>
      </c>
      <c r="N187" s="44"/>
      <c r="O187" s="45">
        <f>(O156/0.25)+O172</f>
        <v>492500</v>
      </c>
      <c r="P187" s="45"/>
      <c r="Q187" s="45">
        <f>(Q156/0.25)+Q172</f>
        <v>333600</v>
      </c>
      <c r="R187" s="110"/>
      <c r="S187" s="45">
        <f>(S156/0.25)+S172</f>
        <v>333600</v>
      </c>
      <c r="T187" s="110"/>
      <c r="U187" s="45">
        <f>(U156/0.25)+U172</f>
        <v>246250</v>
      </c>
    </row>
    <row r="188" ht="12.75" customHeight="1" spans="1:21" x14ac:dyDescent="0.25">
      <c r="A188" s="18"/>
      <c r="B188" s="79"/>
      <c r="C188" s="45"/>
      <c r="D188" s="45"/>
      <c r="E188" s="45"/>
      <c r="F188" s="45"/>
      <c r="G188" s="110"/>
      <c r="H188" s="45"/>
      <c r="I188" s="110"/>
      <c r="J188" s="45"/>
      <c r="L188" s="18">
        <f>L189+1</f>
        <v>2014</v>
      </c>
      <c r="M188" s="79">
        <f>'CPI-U &amp; C-CPI-U Calcs'!$I22</f>
        <v>1.04309472161967</v>
      </c>
      <c r="N188" s="44"/>
      <c r="O188" s="45">
        <f>(O157/0.25)+O173</f>
        <v>484900</v>
      </c>
      <c r="P188" s="45"/>
      <c r="Q188" s="45">
        <f>(Q157/0.25)+Q173</f>
        <v>328500</v>
      </c>
      <c r="R188" s="110"/>
      <c r="S188" s="45">
        <f>(S157/0.25)+S173</f>
        <v>328500</v>
      </c>
      <c r="T188" s="110"/>
      <c r="U188" s="45">
        <f>(U157/0.25)+U173</f>
        <v>242450</v>
      </c>
    </row>
    <row r="189" ht="12.75" customHeight="1" spans="1:21" x14ac:dyDescent="0.25">
      <c r="A189" s="18"/>
      <c r="B189" s="79"/>
      <c r="C189" s="45"/>
      <c r="D189" s="45"/>
      <c r="E189" s="45"/>
      <c r="F189" s="45"/>
      <c r="G189" s="110"/>
      <c r="H189" s="45"/>
      <c r="I189" s="110"/>
      <c r="J189" s="45"/>
      <c r="L189" s="18">
        <f>L190+1</f>
        <v>2013</v>
      </c>
      <c r="M189" s="79">
        <f>'CPI-U &amp; C-CPI-U Calcs'!$I23</f>
        <v>1.02570180466733</v>
      </c>
      <c r="N189" s="44"/>
      <c r="O189" s="45">
        <f>(O158/0.25)+O174</f>
        <v>477100</v>
      </c>
      <c r="P189" s="45"/>
      <c r="Q189" s="45">
        <f>(Q158/0.25)+Q174</f>
        <v>323000</v>
      </c>
      <c r="R189" s="110"/>
      <c r="S189" s="45">
        <f>(S158/0.25)+S174</f>
        <v>323000</v>
      </c>
      <c r="T189" s="110"/>
      <c r="U189" s="45">
        <f>(U158/0.25)+U174</f>
        <v>238550</v>
      </c>
    </row>
    <row r="190" ht="12.75" customHeight="1" spans="1:21" x14ac:dyDescent="0.25">
      <c r="A190" s="18"/>
      <c r="B190" s="86"/>
      <c r="C190" s="88"/>
      <c r="D190" s="89"/>
      <c r="E190" s="88"/>
      <c r="F190" s="89"/>
      <c r="G190" s="88"/>
      <c r="H190" s="89"/>
      <c r="I190" s="88"/>
      <c r="J190" s="89"/>
      <c r="L190" s="18">
        <v>2012</v>
      </c>
      <c r="M190" s="86">
        <f>'CPI-U &amp; C-CPI-U Calcs'!$I24</f>
        <v>1</v>
      </c>
      <c r="N190" s="87"/>
      <c r="O190" s="89">
        <f>(O159/0.25)+O175</f>
        <v>465000</v>
      </c>
      <c r="P190" s="88"/>
      <c r="Q190" s="89">
        <f>(Q159/0.25)+Q175</f>
        <v>314900</v>
      </c>
      <c r="R190" s="88"/>
      <c r="S190" s="89">
        <f>(S159/0.25)+S175</f>
        <v>314900</v>
      </c>
      <c r="T190" s="88"/>
      <c r="U190" s="89">
        <f>(U159/0.25)+U175</f>
        <v>232500</v>
      </c>
    </row>
    <row r="191" ht="12.75" customHeight="1" spans="12:12" x14ac:dyDescent="0.25">
      <c r="L191" s="112" t="s">
        <v>214</v>
      </c>
    </row>
    <row r="194" ht="24.75" customHeight="1" spans="1:21" x14ac:dyDescent="0.25">
      <c r="A194" s="91" t="s">
        <v>215</v>
      </c>
      <c r="B194" s="53"/>
      <c r="C194" s="45"/>
      <c r="D194" s="45"/>
      <c r="E194" s="15"/>
      <c r="F194" s="15"/>
      <c r="G194" s="15"/>
      <c r="H194" s="15"/>
      <c r="I194" s="15"/>
      <c r="J194" s="15"/>
      <c r="L194" s="91"/>
      <c r="M194" s="53"/>
      <c r="N194" s="45"/>
      <c r="O194" s="45"/>
      <c r="P194" s="15"/>
      <c r="Q194" s="15"/>
      <c r="R194" s="15"/>
      <c r="S194" s="15"/>
      <c r="T194" s="15"/>
      <c r="U194" s="15"/>
    </row>
    <row r="195" ht="26.25" customHeight="1" spans="1:21" x14ac:dyDescent="0.25">
      <c r="A195" s="24" t="s">
        <v>6</v>
      </c>
      <c r="B195" s="24" t="s">
        <v>185</v>
      </c>
      <c r="C195" s="40"/>
      <c r="D195" s="24" t="s">
        <v>162</v>
      </c>
      <c r="E195" s="24"/>
      <c r="F195" s="24" t="s">
        <v>36</v>
      </c>
      <c r="G195" s="24"/>
      <c r="H195" s="24" t="s">
        <v>37</v>
      </c>
      <c r="I195" s="24"/>
      <c r="J195" s="24" t="s">
        <v>158</v>
      </c>
      <c r="L195" s="55"/>
      <c r="M195" s="55"/>
      <c r="N195" s="55"/>
      <c r="O195" s="55"/>
      <c r="P195" s="55"/>
      <c r="Q195" s="55"/>
      <c r="R195" s="55"/>
      <c r="S195" s="55"/>
      <c r="T195" s="55"/>
      <c r="U195" s="55"/>
    </row>
    <row r="196" ht="13.5" customHeight="1" spans="1:21" x14ac:dyDescent="0.25">
      <c r="A196" s="27">
        <f>A197+1</f>
        <v>2022</v>
      </c>
      <c r="B196" s="101">
        <f>'CPI-U &amp; C-CPI-U Calcs'!$I14</f>
        <v>1.1763515274593</v>
      </c>
      <c r="C196" s="41">
        <f>C$206*$B196</f>
        <v>205861.517305377</v>
      </c>
      <c r="D196" s="42">
        <f>MROUND(C196,100)</f>
        <v>205900</v>
      </c>
      <c r="E196" s="42">
        <f>E$206*$B196</f>
        <v>205861.517305377</v>
      </c>
      <c r="F196" s="42">
        <f>MROUND(E196,100)</f>
        <v>205900</v>
      </c>
      <c r="G196" s="42">
        <f>G$206*$B196</f>
        <v>205861.517305377</v>
      </c>
      <c r="H196" s="42">
        <f>MROUND(G196,100)</f>
        <v>205900</v>
      </c>
      <c r="I196" s="42">
        <f>I$206*$B196</f>
        <v>102930.758652689</v>
      </c>
      <c r="J196" s="42">
        <f>MROUND(I196,50)</f>
        <v>102950</v>
      </c>
      <c r="L196" s="55"/>
      <c r="M196" s="55"/>
      <c r="N196" s="55"/>
      <c r="O196" s="55"/>
      <c r="P196" s="55"/>
      <c r="Q196" s="55"/>
      <c r="R196" s="55"/>
      <c r="S196" s="55"/>
      <c r="T196" s="55"/>
      <c r="U196" s="55"/>
    </row>
    <row r="197" ht="13.5" customHeight="1" spans="1:21" x14ac:dyDescent="0.25">
      <c r="A197" s="18">
        <f>A198+1</f>
        <v>2021</v>
      </c>
      <c r="B197" s="102">
        <f>'CPI-U &amp; C-CPI-U Calcs'!$I15</f>
        <v>1.14208886161097</v>
      </c>
      <c r="C197" s="44">
        <f>C$206*$B197</f>
        <v>199865.550781919</v>
      </c>
      <c r="D197" s="45">
        <f>MROUND(C197,100)</f>
        <v>199900</v>
      </c>
      <c r="E197" s="45">
        <f>E$206*$B197</f>
        <v>199865.550781919</v>
      </c>
      <c r="F197" s="45">
        <f>MROUND(E197,100)</f>
        <v>199900</v>
      </c>
      <c r="G197" s="45">
        <f>G$206*$B197</f>
        <v>199865.550781919</v>
      </c>
      <c r="H197" s="45">
        <f>MROUND(G197,100)</f>
        <v>199900</v>
      </c>
      <c r="I197" s="45">
        <f>I$206*$B197</f>
        <v>99932.7753909597</v>
      </c>
      <c r="J197" s="45">
        <f>MROUND(I197,50)</f>
        <v>99950</v>
      </c>
      <c r="L197" s="55"/>
      <c r="M197" s="55"/>
      <c r="N197" s="55"/>
      <c r="O197" s="55"/>
      <c r="P197" s="55"/>
      <c r="Q197" s="55"/>
      <c r="R197" s="55"/>
      <c r="S197" s="55"/>
      <c r="T197" s="55"/>
      <c r="U197" s="55"/>
    </row>
    <row r="198" ht="13.5" customHeight="1" spans="1:21" x14ac:dyDescent="0.25">
      <c r="A198" s="18">
        <f>A199+1</f>
        <v>2020</v>
      </c>
      <c r="B198" s="102">
        <f>'CPI-U &amp; C-CPI-U Calcs'!$I16</f>
        <v>1.12959597238443</v>
      </c>
      <c r="C198" s="44">
        <f>C$206*$B198</f>
        <v>197679.295167274</v>
      </c>
      <c r="D198" s="45">
        <f>MROUND(C198,100)</f>
        <v>197700</v>
      </c>
      <c r="E198" s="45">
        <f>E$206*$B198</f>
        <v>197679.295167274</v>
      </c>
      <c r="F198" s="45">
        <f>MROUND(E198,100)</f>
        <v>197700</v>
      </c>
      <c r="G198" s="45">
        <f>G$206*$B198</f>
        <v>197679.295167274</v>
      </c>
      <c r="H198" s="45">
        <f>MROUND(G198,100)</f>
        <v>197700</v>
      </c>
      <c r="I198" s="45">
        <f>I$206*$B198</f>
        <v>98839.6475836372</v>
      </c>
      <c r="J198" s="45">
        <f>MROUND(I198,50)</f>
        <v>98850</v>
      </c>
      <c r="L198" s="55"/>
      <c r="M198" s="55"/>
      <c r="N198" s="55"/>
      <c r="O198" s="55"/>
      <c r="P198" s="55"/>
      <c r="Q198" s="55"/>
      <c r="R198" s="55"/>
      <c r="S198" s="55"/>
      <c r="T198" s="55"/>
      <c r="U198" s="55"/>
    </row>
    <row r="199" ht="13.5" customHeight="1" spans="1:21" x14ac:dyDescent="0.25">
      <c r="A199" s="18">
        <f>A200+1</f>
        <v>2019</v>
      </c>
      <c r="B199" s="102">
        <f>'CPI-U &amp; C-CPI-U Calcs'!$I17</f>
        <v>1.11234379334045</v>
      </c>
      <c r="C199" s="44">
        <f>C$206*$B199</f>
        <v>194660.163834578</v>
      </c>
      <c r="D199" s="45">
        <f>MROUND(C199,100)</f>
        <v>194700</v>
      </c>
      <c r="E199" s="45">
        <f>E$206*$B199</f>
        <v>194660.163834578</v>
      </c>
      <c r="F199" s="45">
        <f>MROUND(E199,100)</f>
        <v>194700</v>
      </c>
      <c r="G199" s="45">
        <f>G$206*$B199</f>
        <v>194660.163834578</v>
      </c>
      <c r="H199" s="45">
        <f>MROUND(G199,100)</f>
        <v>194700</v>
      </c>
      <c r="I199" s="45">
        <f>I$206*$B199</f>
        <v>97330.081917289</v>
      </c>
      <c r="J199" s="45">
        <f>MROUND(I199,50)</f>
        <v>97350</v>
      </c>
      <c r="L199" s="27"/>
      <c r="M199" s="27"/>
      <c r="N199" s="42"/>
      <c r="O199" s="42"/>
      <c r="P199" s="42"/>
      <c r="Q199" s="42"/>
      <c r="R199" s="42"/>
      <c r="S199" s="42"/>
      <c r="T199" s="42"/>
      <c r="U199" s="42"/>
    </row>
    <row r="200" ht="13.5" customHeight="1" spans="1:21" x14ac:dyDescent="0.25">
      <c r="A200" s="18">
        <v>2018</v>
      </c>
      <c r="B200" s="102">
        <f>'CPI-U &amp; C-CPI-U Calcs'!$I18</f>
        <v>1.09060713911416</v>
      </c>
      <c r="C200" s="44">
        <f>C$206*$B200</f>
        <v>190856.249344977</v>
      </c>
      <c r="D200" s="45">
        <f>MROUND(C200,100)</f>
        <v>190900</v>
      </c>
      <c r="E200" s="45">
        <f>E$206*$B200</f>
        <v>190856.249344977</v>
      </c>
      <c r="F200" s="45">
        <f>MROUND(E200,100)</f>
        <v>190900</v>
      </c>
      <c r="G200" s="45">
        <f>G$206*$B200</f>
        <v>190856.249344977</v>
      </c>
      <c r="H200" s="45">
        <f>MROUND(G200,100)</f>
        <v>190900</v>
      </c>
      <c r="I200" s="45">
        <f>I$206*$B200</f>
        <v>95428.1246724887</v>
      </c>
      <c r="J200" s="45">
        <f>MROUND(I200,50)</f>
        <v>95450</v>
      </c>
      <c r="L200" s="18"/>
      <c r="M200" s="18"/>
      <c r="N200" s="45"/>
      <c r="O200" s="45"/>
      <c r="P200" s="45"/>
      <c r="Q200" s="45"/>
      <c r="R200" s="45"/>
      <c r="S200" s="45"/>
      <c r="T200" s="45"/>
      <c r="U200" s="45"/>
    </row>
    <row r="201" ht="13.5" customHeight="1" spans="1:21" x14ac:dyDescent="0.25">
      <c r="A201" s="18">
        <f>A202+1</f>
        <v>2017</v>
      </c>
      <c r="B201" s="102">
        <f>'CPI-U &amp; C-CPI-U Calcs'!$I19</f>
        <v>1.07290526339451</v>
      </c>
      <c r="C201" s="44">
        <f>C$206*$B201</f>
        <v>187758.42109404</v>
      </c>
      <c r="D201" s="45">
        <f>MROUND(C201,100)</f>
        <v>187800</v>
      </c>
      <c r="E201" s="45">
        <f>E$206*$B201</f>
        <v>187758.42109404</v>
      </c>
      <c r="F201" s="45">
        <f>MROUND(E201,100)</f>
        <v>187800</v>
      </c>
      <c r="G201" s="45">
        <f>G$206*$B201</f>
        <v>187758.42109404</v>
      </c>
      <c r="H201" s="45">
        <f>MROUND(G201,100)</f>
        <v>187800</v>
      </c>
      <c r="I201" s="45">
        <f>I$206*$B201</f>
        <v>93879.2105470199</v>
      </c>
      <c r="J201" s="45">
        <f>MROUND(I201,50)</f>
        <v>93900</v>
      </c>
      <c r="L201" s="18"/>
      <c r="M201" s="18"/>
      <c r="N201" s="45"/>
      <c r="O201" s="45"/>
      <c r="P201" s="45"/>
      <c r="Q201" s="45"/>
      <c r="R201" s="45"/>
      <c r="S201" s="45"/>
      <c r="T201" s="45"/>
      <c r="U201" s="45"/>
    </row>
    <row r="202" ht="13.5" customHeight="1" spans="1:21" x14ac:dyDescent="0.25">
      <c r="A202" s="18">
        <f>A203+1</f>
        <v>2016</v>
      </c>
      <c r="B202" s="102">
        <f>'CPI-U &amp; C-CPI-U Calcs'!$I20</f>
        <v>1.06436297153818</v>
      </c>
      <c r="C202" s="44">
        <f>C$206*$B202</f>
        <v>186263.520019182</v>
      </c>
      <c r="D202" s="45">
        <f>MROUND(C202,100)</f>
        <v>186300</v>
      </c>
      <c r="E202" s="45">
        <f>E$206*$B202</f>
        <v>186263.520019182</v>
      </c>
      <c r="F202" s="45">
        <f>MROUND(E202,100)</f>
        <v>186300</v>
      </c>
      <c r="G202" s="45">
        <f>G$206*$B202</f>
        <v>186263.520019182</v>
      </c>
      <c r="H202" s="45">
        <f>MROUND(G202,100)</f>
        <v>186300</v>
      </c>
      <c r="I202" s="45">
        <f>I$206*$B202</f>
        <v>93131.7600095909</v>
      </c>
      <c r="J202" s="45">
        <f>MROUND(I202,50)</f>
        <v>93150</v>
      </c>
      <c r="L202" s="18"/>
      <c r="M202" s="18"/>
      <c r="N202" s="45"/>
      <c r="O202" s="45"/>
      <c r="P202" s="45"/>
      <c r="Q202" s="45"/>
      <c r="R202" s="45"/>
      <c r="S202" s="45"/>
      <c r="T202" s="45"/>
      <c r="U202" s="45"/>
    </row>
    <row r="203" ht="13.5" customHeight="1" spans="1:21" x14ac:dyDescent="0.25">
      <c r="A203" s="18">
        <f>A204+1</f>
        <v>2015</v>
      </c>
      <c r="B203" s="102">
        <f>'CPI-U &amp; C-CPI-U Calcs'!$I21</f>
        <v>1.0595798725456</v>
      </c>
      <c r="C203" s="44">
        <f>C$206*$B203</f>
        <v>185426.477695481</v>
      </c>
      <c r="D203" s="45">
        <f>MROUND(C203,100)</f>
        <v>185400</v>
      </c>
      <c r="E203" s="45">
        <f>E$206*$B203</f>
        <v>185426.477695481</v>
      </c>
      <c r="F203" s="45">
        <f>MROUND(E203,100)</f>
        <v>185400</v>
      </c>
      <c r="G203" s="45">
        <f>G$206*$B203</f>
        <v>185426.477695481</v>
      </c>
      <c r="H203" s="45">
        <f>MROUND(G203,100)</f>
        <v>185400</v>
      </c>
      <c r="I203" s="45">
        <f>I$206*$B203</f>
        <v>92713.2388477403</v>
      </c>
      <c r="J203" s="45">
        <f>MROUND(I203,50)</f>
        <v>92700</v>
      </c>
      <c r="L203" s="18"/>
      <c r="M203" s="18"/>
      <c r="N203" s="45"/>
      <c r="O203" s="45"/>
      <c r="P203" s="45"/>
      <c r="Q203" s="45"/>
      <c r="R203" s="45"/>
      <c r="S203" s="45"/>
      <c r="T203" s="45"/>
      <c r="U203" s="45"/>
    </row>
    <row r="204" ht="13.5" customHeight="1" spans="1:21" x14ac:dyDescent="0.25">
      <c r="A204" s="18">
        <f>A205+1</f>
        <v>2014</v>
      </c>
      <c r="B204" s="102">
        <f>'CPI-U &amp; C-CPI-U Calcs'!$I22</f>
        <v>1.04309472161967</v>
      </c>
      <c r="C204" s="44">
        <f>C$206*$B204</f>
        <v>182541.576283442</v>
      </c>
      <c r="D204" s="45">
        <f>MROUND(C204,100)</f>
        <v>182500</v>
      </c>
      <c r="E204" s="45">
        <f>E$206*$B204</f>
        <v>182541.576283442</v>
      </c>
      <c r="F204" s="45">
        <f>MROUND(E204,100)</f>
        <v>182500</v>
      </c>
      <c r="G204" s="45">
        <f>G$206*$B204</f>
        <v>182541.576283442</v>
      </c>
      <c r="H204" s="45">
        <f>MROUND(G204,100)</f>
        <v>182500</v>
      </c>
      <c r="I204" s="45">
        <f>I$206*$B204</f>
        <v>91270.7881417209</v>
      </c>
      <c r="J204" s="45">
        <f>MROUND(I204,50)</f>
        <v>91250</v>
      </c>
      <c r="L204" s="18"/>
      <c r="M204" s="18"/>
      <c r="N204" s="45"/>
      <c r="O204" s="45"/>
      <c r="P204" s="45"/>
      <c r="Q204" s="45"/>
      <c r="R204" s="45"/>
      <c r="S204" s="45"/>
      <c r="T204" s="45"/>
      <c r="U204" s="45"/>
    </row>
    <row r="205" ht="13.5" customHeight="1" spans="1:21" x14ac:dyDescent="0.25">
      <c r="A205" s="18">
        <f>A206+1</f>
        <v>2013</v>
      </c>
      <c r="B205" s="102">
        <f>'CPI-U &amp; C-CPI-U Calcs'!$I23</f>
        <v>1.02570180466733</v>
      </c>
      <c r="C205" s="44">
        <f>C$206*$B205</f>
        <v>179497.815816783</v>
      </c>
      <c r="D205" s="45">
        <f>MROUND(C205,100)</f>
        <v>179500</v>
      </c>
      <c r="E205" s="45">
        <f>E$206*$B205</f>
        <v>179497.815816783</v>
      </c>
      <c r="F205" s="45">
        <f>MROUND(E205,100)</f>
        <v>179500</v>
      </c>
      <c r="G205" s="45">
        <f>G$206*$B205</f>
        <v>179497.815816783</v>
      </c>
      <c r="H205" s="45">
        <f>MROUND(G205,100)</f>
        <v>179500</v>
      </c>
      <c r="I205" s="45">
        <f>I$206*$B205</f>
        <v>89748.9079083917</v>
      </c>
      <c r="J205" s="45">
        <f>MROUND(I205,50)</f>
        <v>89750</v>
      </c>
      <c r="L205" s="18"/>
      <c r="M205" s="18"/>
      <c r="N205" s="45"/>
      <c r="O205" s="45"/>
      <c r="P205" s="45"/>
      <c r="Q205" s="45"/>
      <c r="R205" s="45"/>
      <c r="S205" s="45"/>
      <c r="T205" s="45"/>
      <c r="U205" s="45"/>
    </row>
    <row r="206" ht="13.5" customHeight="1" spans="1:21" x14ac:dyDescent="0.25">
      <c r="A206" s="18">
        <v>2012</v>
      </c>
      <c r="B206" s="86">
        <f>'CPI-U &amp; C-CPI-U Calcs'!$I24</f>
        <v>1</v>
      </c>
      <c r="C206" s="87">
        <v>175000</v>
      </c>
      <c r="D206" s="89">
        <f>C206</f>
        <v>175000</v>
      </c>
      <c r="E206" s="88">
        <v>175000</v>
      </c>
      <c r="F206" s="89">
        <f>E206</f>
        <v>175000</v>
      </c>
      <c r="G206" s="88">
        <v>175000</v>
      </c>
      <c r="H206" s="89">
        <f>G206</f>
        <v>175000</v>
      </c>
      <c r="I206" s="88">
        <v>87500</v>
      </c>
      <c r="J206" s="89">
        <f>I206</f>
        <v>87500</v>
      </c>
      <c r="L206" s="18"/>
      <c r="M206" s="86"/>
      <c r="N206" s="89"/>
      <c r="O206" s="89"/>
      <c r="P206" s="88"/>
      <c r="Q206" s="89"/>
      <c r="R206" s="88"/>
      <c r="S206" s="89"/>
      <c r="T206" s="88"/>
      <c r="U206" s="89"/>
    </row>
  </sheetData>
  <pageMargins left="0.75" right="0.75" top="1" bottom="1" header="0.511811023622047" footer="0.511811023622047"/>
  <pageSetup paperSize="1" orientation="landscape" horizontalDpi="300" verticalDpi="300" scale="94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workbookViewId="0" zoomScale="90" zoomScaleNormal="90" view="normal">
      <selection activeCell="E6" sqref="E6"/>
    </sheetView>
  </sheetViews>
  <sheetFormatPr defaultRowHeight="12.75" outlineLevelRow="0" outlineLevelCol="0" x14ac:dyDescent="0" defaultColWidth="8.83203125" customHeight="1"/>
  <cols>
    <col min="1" max="2" width="12.67" customWidth="1"/>
    <col min="3" max="3" width="10.66" customWidth="1"/>
    <col min="4" max="5" width="12.67" customWidth="1"/>
    <col min="6" max="6" width="10.66" customWidth="1"/>
    <col min="7" max="8" width="12.67" customWidth="1"/>
    <col min="9" max="9" width="10.66" customWidth="1"/>
    <col min="10" max="11" width="12.67" customWidth="1"/>
    <col min="12" max="12" width="10.66" customWidth="1"/>
    <col min="13" max="14" width="12.67" customWidth="1"/>
    <col min="15" max="16" width="10.66" customWidth="1"/>
    <col min="17" max="18" width="12.67" customWidth="1"/>
  </cols>
  <sheetData>
    <row r="1" ht="18" customHeight="1" spans="1:1" x14ac:dyDescent="0.25">
      <c r="A1" s="14" t="s">
        <v>216</v>
      </c>
    </row>
    <row r="2" ht="12.75" customHeight="1" spans="1:1" x14ac:dyDescent="0.25">
      <c r="A2" s="20" t="s">
        <v>144</v>
      </c>
    </row>
    <row r="3" ht="12.75" customHeight="1" spans="1:1" x14ac:dyDescent="0.25">
      <c r="A3" s="20" t="s">
        <v>145</v>
      </c>
    </row>
    <row r="4" ht="12.75" customHeight="1" spans="1:1" x14ac:dyDescent="0.25">
      <c r="A4" s="21" t="s">
        <v>146</v>
      </c>
    </row>
    <row r="5" ht="12.75" customHeight="1" spans="1:1" x14ac:dyDescent="0.25">
      <c r="A5" s="20"/>
    </row>
    <row r="6" ht="24.75" customHeight="1" spans="1:14" x14ac:dyDescent="0.25">
      <c r="A6" s="14" t="s">
        <v>216</v>
      </c>
      <c r="B6" s="53"/>
      <c r="C6" s="53"/>
      <c r="D6" s="53"/>
      <c r="E6" s="53"/>
      <c r="F6" s="38"/>
      <c r="G6" s="53"/>
      <c r="H6" s="53"/>
      <c r="I6" s="53"/>
      <c r="J6" s="53"/>
      <c r="K6" s="53"/>
      <c r="L6" s="53"/>
      <c r="M6" s="53"/>
      <c r="N6" s="53"/>
    </row>
    <row r="7" ht="15.75" customHeight="1" spans="1:14" x14ac:dyDescent="0.25">
      <c r="A7" s="91" t="s">
        <v>217</v>
      </c>
      <c r="B7" s="53"/>
      <c r="C7" s="53"/>
      <c r="D7" s="53"/>
      <c r="E7" s="53"/>
      <c r="F7" s="38"/>
      <c r="G7" s="53"/>
      <c r="H7" s="53"/>
      <c r="I7" s="53"/>
      <c r="J7" s="53"/>
      <c r="K7" s="53"/>
      <c r="L7" s="53"/>
      <c r="M7" s="53"/>
      <c r="N7" s="53"/>
    </row>
    <row r="8" ht="15" customHeight="1" spans="1:15" x14ac:dyDescent="0.25">
      <c r="A8" s="113" t="s">
        <v>218</v>
      </c>
      <c r="B8" s="114"/>
      <c r="C8" s="114"/>
      <c r="D8" s="113" t="s">
        <v>219</v>
      </c>
      <c r="E8" s="114"/>
      <c r="F8" s="114"/>
      <c r="G8" s="113" t="s">
        <v>220</v>
      </c>
      <c r="H8" s="114"/>
      <c r="I8" s="114"/>
      <c r="J8" s="113" t="s">
        <v>221</v>
      </c>
      <c r="K8" s="114"/>
      <c r="L8" s="114"/>
      <c r="M8" s="113" t="s">
        <v>222</v>
      </c>
      <c r="N8" s="114"/>
      <c r="O8" s="115"/>
    </row>
    <row r="9" ht="15" customHeight="1" spans="1:15" x14ac:dyDescent="0.25">
      <c r="A9" s="113" t="s">
        <v>223</v>
      </c>
      <c r="B9" s="65" t="s">
        <v>224</v>
      </c>
      <c r="C9" s="65" t="s">
        <v>225</v>
      </c>
      <c r="D9" s="113" t="s">
        <v>223</v>
      </c>
      <c r="E9" s="65" t="s">
        <v>224</v>
      </c>
      <c r="F9" s="65" t="s">
        <v>226</v>
      </c>
      <c r="G9" s="113" t="s">
        <v>223</v>
      </c>
      <c r="H9" s="65" t="s">
        <v>224</v>
      </c>
      <c r="I9" s="65" t="s">
        <v>225</v>
      </c>
      <c r="J9" s="113" t="s">
        <v>223</v>
      </c>
      <c r="K9" s="65" t="s">
        <v>224</v>
      </c>
      <c r="L9" s="65" t="s">
        <v>225</v>
      </c>
      <c r="M9" s="113" t="s">
        <v>223</v>
      </c>
      <c r="N9" s="65" t="s">
        <v>224</v>
      </c>
      <c r="O9" s="116" t="s">
        <v>225</v>
      </c>
    </row>
    <row r="10" ht="13.5" customHeight="1" spans="1:15" x14ac:dyDescent="0.25">
      <c r="A10" s="44">
        <v>0</v>
      </c>
      <c r="B10" s="63">
        <f>'Tax Bracket Calcs'!F$22</f>
        <v>19900</v>
      </c>
      <c r="C10" s="19">
        <v>0.1</v>
      </c>
      <c r="D10" s="44">
        <v>0</v>
      </c>
      <c r="E10" s="63">
        <f>'Tax Bracket Calcs'!M$22</f>
        <v>9950</v>
      </c>
      <c r="F10" s="19">
        <v>0.1</v>
      </c>
      <c r="G10" s="44">
        <v>0</v>
      </c>
      <c r="H10" s="63">
        <f>'Tax Bracket Calcs'!T$22</f>
        <v>14200</v>
      </c>
      <c r="I10" s="19">
        <v>0.1</v>
      </c>
      <c r="J10" s="44">
        <v>0</v>
      </c>
      <c r="K10" s="63">
        <f>'Tax Bracket Calcs'!AA$22</f>
        <v>9950</v>
      </c>
      <c r="L10" s="19">
        <v>0.1</v>
      </c>
      <c r="M10" s="44">
        <v>0</v>
      </c>
      <c r="N10" s="117">
        <f>'Tax Bracket Calcs'!AH$22</f>
        <v>2650</v>
      </c>
      <c r="O10" s="118">
        <v>0.1</v>
      </c>
    </row>
    <row r="11" ht="13.5" customHeight="1" spans="1:15" x14ac:dyDescent="0.25">
      <c r="A11" s="119">
        <f>B10</f>
        <v>19900</v>
      </c>
      <c r="B11" s="63">
        <f>'Tax Bracket Calcs'!G$22</f>
        <v>81050</v>
      </c>
      <c r="C11" s="19">
        <v>0.12</v>
      </c>
      <c r="D11" s="119">
        <f>E10</f>
        <v>9950</v>
      </c>
      <c r="E11" s="63">
        <f>'Tax Bracket Calcs'!N$22</f>
        <v>40525</v>
      </c>
      <c r="F11" s="19">
        <v>0.12</v>
      </c>
      <c r="G11" s="119">
        <f>H10</f>
        <v>14200</v>
      </c>
      <c r="H11" s="63">
        <f>'Tax Bracket Calcs'!U$22</f>
        <v>54200</v>
      </c>
      <c r="I11" s="19">
        <v>0.12</v>
      </c>
      <c r="J11" s="119">
        <f>K10</f>
        <v>9950</v>
      </c>
      <c r="K11" s="63">
        <f>'Tax Bracket Calcs'!AB$22</f>
        <v>40525</v>
      </c>
      <c r="L11" s="19">
        <v>0.12</v>
      </c>
      <c r="M11" s="44">
        <v>0</v>
      </c>
      <c r="N11" s="117" t="str">
        <f>'Tax Bracket Calcs'!AI$22</f>
        <v>unused</v>
      </c>
      <c r="O11" s="120">
        <v>0.12</v>
      </c>
    </row>
    <row r="12" ht="13.5" customHeight="1" spans="1:15" x14ac:dyDescent="0.25">
      <c r="A12" s="119">
        <f>B11</f>
        <v>81050</v>
      </c>
      <c r="B12" s="63">
        <f>'Tax Bracket Calcs'!H$22</f>
        <v>172750</v>
      </c>
      <c r="C12" s="19">
        <v>0.22</v>
      </c>
      <c r="D12" s="119">
        <f>E11</f>
        <v>40525</v>
      </c>
      <c r="E12" s="63">
        <f>'Tax Bracket Calcs'!O$22</f>
        <v>86375</v>
      </c>
      <c r="F12" s="19">
        <v>0.22</v>
      </c>
      <c r="G12" s="119">
        <f>H11</f>
        <v>54200</v>
      </c>
      <c r="H12" s="63">
        <f>'Tax Bracket Calcs'!V$22</f>
        <v>86350</v>
      </c>
      <c r="I12" s="19">
        <v>0.22</v>
      </c>
      <c r="J12" s="119">
        <f>K11</f>
        <v>40525</v>
      </c>
      <c r="K12" s="63">
        <f>'Tax Bracket Calcs'!AC$22</f>
        <v>86375</v>
      </c>
      <c r="L12" s="19">
        <v>0.22</v>
      </c>
      <c r="M12" s="121" t="str">
        <f>N11</f>
        <v>unused</v>
      </c>
      <c r="N12" s="117" t="str">
        <f>'Tax Bracket Calcs'!AJ$22</f>
        <v>unused</v>
      </c>
      <c r="O12" s="122">
        <v>0.22</v>
      </c>
    </row>
    <row r="13" ht="12.75" customHeight="1" spans="1:15" x14ac:dyDescent="0.25">
      <c r="A13" s="119">
        <f>B12</f>
        <v>172750</v>
      </c>
      <c r="B13" s="63">
        <f>'Tax Bracket Calcs'!I$22</f>
        <v>329850</v>
      </c>
      <c r="C13" s="19">
        <v>0.24</v>
      </c>
      <c r="D13" s="119">
        <f>E12</f>
        <v>86375</v>
      </c>
      <c r="E13" s="63">
        <f>'Tax Bracket Calcs'!P$22</f>
        <v>164925</v>
      </c>
      <c r="F13" s="19">
        <v>0.24</v>
      </c>
      <c r="G13" s="119">
        <f>H12</f>
        <v>86350</v>
      </c>
      <c r="H13" s="63">
        <f>'Tax Bracket Calcs'!W$22</f>
        <v>164900</v>
      </c>
      <c r="I13" s="19">
        <v>0.24</v>
      </c>
      <c r="J13" s="119">
        <f>K12</f>
        <v>86375</v>
      </c>
      <c r="K13" s="63">
        <f>'Tax Bracket Calcs'!AD$22</f>
        <v>164925</v>
      </c>
      <c r="L13" s="19">
        <v>0.24</v>
      </c>
      <c r="M13" s="121" t="str">
        <f>N12</f>
        <v>unused</v>
      </c>
      <c r="N13" s="63">
        <f>'Tax Bracket Calcs'!AK$22</f>
        <v>9550</v>
      </c>
      <c r="O13" s="120">
        <v>0.24</v>
      </c>
    </row>
    <row r="14" ht="13.5" customHeight="1" spans="1:15" x14ac:dyDescent="0.25">
      <c r="A14" s="119">
        <f>B13</f>
        <v>329850</v>
      </c>
      <c r="B14" s="63">
        <f>'Tax Bracket Calcs'!J$22</f>
        <v>418850</v>
      </c>
      <c r="C14" s="19">
        <v>0.32</v>
      </c>
      <c r="D14" s="119">
        <f>E13</f>
        <v>164925</v>
      </c>
      <c r="E14" s="63">
        <f>'Tax Bracket Calcs'!Q$22</f>
        <v>209425</v>
      </c>
      <c r="F14" s="19">
        <v>0.32</v>
      </c>
      <c r="G14" s="119">
        <f>H13</f>
        <v>164900</v>
      </c>
      <c r="H14" s="63">
        <f>'Tax Bracket Calcs'!X$22</f>
        <v>209400</v>
      </c>
      <c r="I14" s="19">
        <v>0.32</v>
      </c>
      <c r="J14" s="119">
        <f>K13</f>
        <v>164925</v>
      </c>
      <c r="K14" s="63">
        <f>'Tax Bracket Calcs'!AE$22</f>
        <v>209425</v>
      </c>
      <c r="L14" s="19">
        <v>0.32</v>
      </c>
      <c r="M14" s="119">
        <f>N13</f>
        <v>9550</v>
      </c>
      <c r="N14" s="117" t="str">
        <f>'Tax Bracket Calcs'!AL$22</f>
        <v>unused</v>
      </c>
      <c r="O14" s="122">
        <v>0.32</v>
      </c>
    </row>
    <row r="15" ht="12.75" customHeight="1" spans="1:15" x14ac:dyDescent="0.25">
      <c r="A15" s="119">
        <f>B14</f>
        <v>418850</v>
      </c>
      <c r="B15" s="63">
        <f>'Tax Bracket Calcs'!K$22</f>
        <v>628300</v>
      </c>
      <c r="C15" s="19">
        <v>0.35</v>
      </c>
      <c r="D15" s="119">
        <f>E14</f>
        <v>209425</v>
      </c>
      <c r="E15" s="63">
        <f>'Tax Bracket Calcs'!R$22</f>
        <v>523600</v>
      </c>
      <c r="F15" s="19">
        <v>0.35</v>
      </c>
      <c r="G15" s="119">
        <f>H14</f>
        <v>209400</v>
      </c>
      <c r="H15" s="63">
        <f>'Tax Bracket Calcs'!Y$22</f>
        <v>523600</v>
      </c>
      <c r="I15" s="19">
        <v>0.35</v>
      </c>
      <c r="J15" s="119">
        <f>K14</f>
        <v>209425</v>
      </c>
      <c r="K15" s="63">
        <f>'Tax Bracket Calcs'!AF$22</f>
        <v>314150</v>
      </c>
      <c r="L15" s="19">
        <v>0.35</v>
      </c>
      <c r="M15" s="121" t="str">
        <f>N14</f>
        <v>unused</v>
      </c>
      <c r="N15" s="63">
        <f>'Tax Bracket Calcs'!AM$22</f>
        <v>13050</v>
      </c>
      <c r="O15" s="120">
        <v>0.35</v>
      </c>
    </row>
    <row r="16" ht="13.5" customHeight="1" spans="1:15" x14ac:dyDescent="0.25">
      <c r="A16" s="123">
        <f>B15</f>
        <v>628300</v>
      </c>
      <c r="B16" s="124" t="s">
        <v>35</v>
      </c>
      <c r="C16" s="125">
        <v>0.37</v>
      </c>
      <c r="D16" s="123">
        <f>E15</f>
        <v>523600</v>
      </c>
      <c r="E16" s="124" t="s">
        <v>35</v>
      </c>
      <c r="F16" s="125">
        <v>0.37</v>
      </c>
      <c r="G16" s="123">
        <f>H15</f>
        <v>523600</v>
      </c>
      <c r="H16" s="124" t="s">
        <v>35</v>
      </c>
      <c r="I16" s="125">
        <v>0.37</v>
      </c>
      <c r="J16" s="123">
        <f>K15</f>
        <v>314150</v>
      </c>
      <c r="K16" s="124" t="s">
        <v>35</v>
      </c>
      <c r="L16" s="125">
        <v>0.37</v>
      </c>
      <c r="M16" s="126">
        <f>N15</f>
        <v>13050</v>
      </c>
      <c r="N16" s="124" t="s">
        <v>35</v>
      </c>
      <c r="O16" s="127">
        <v>0.37</v>
      </c>
    </row>
    <row r="17" ht="13.5" customHeight="1" spans="1:15" x14ac:dyDescent="0.25">
      <c r="A17" s="128"/>
      <c r="B17" s="129"/>
      <c r="C17" s="19"/>
      <c r="D17" s="128"/>
      <c r="E17" s="129"/>
      <c r="F17" s="19"/>
      <c r="G17" s="128"/>
      <c r="H17" s="129"/>
      <c r="I17" s="19"/>
      <c r="J17" s="128"/>
      <c r="K17" s="129"/>
      <c r="L17" s="19"/>
      <c r="M17" s="129"/>
      <c r="N17" s="129"/>
      <c r="O17" s="19"/>
    </row>
    <row r="18" ht="12.75" customHeight="1" spans="1:15" x14ac:dyDescent="0.25">
      <c r="A18" s="128"/>
      <c r="B18" s="129"/>
      <c r="C18" s="19"/>
      <c r="D18" s="128"/>
      <c r="E18" s="129"/>
      <c r="F18" s="19"/>
      <c r="G18" s="128"/>
      <c r="H18" s="129"/>
      <c r="I18" s="19"/>
      <c r="J18" s="128"/>
      <c r="K18" s="129"/>
      <c r="L18" s="19"/>
      <c r="M18" s="129"/>
      <c r="N18" s="129"/>
      <c r="O18" s="19"/>
    </row>
    <row r="19" ht="24.75" customHeight="1" spans="1:14" x14ac:dyDescent="0.25">
      <c r="A19" s="91" t="s">
        <v>227</v>
      </c>
      <c r="B19" s="53"/>
      <c r="C19" s="53"/>
      <c r="D19" s="53"/>
      <c r="E19" s="53"/>
      <c r="F19" s="38"/>
      <c r="G19" s="53"/>
      <c r="H19" s="53"/>
      <c r="I19" s="53"/>
      <c r="J19" s="53"/>
      <c r="K19" s="53"/>
      <c r="L19" s="53"/>
      <c r="M19" s="53"/>
      <c r="N19" s="53"/>
    </row>
    <row r="20" ht="15" customHeight="1" spans="1:15" x14ac:dyDescent="0.25">
      <c r="A20" s="113" t="s">
        <v>218</v>
      </c>
      <c r="B20" s="114"/>
      <c r="C20" s="114"/>
      <c r="D20" s="113" t="s">
        <v>219</v>
      </c>
      <c r="E20" s="114"/>
      <c r="F20" s="114"/>
      <c r="G20" s="113" t="s">
        <v>220</v>
      </c>
      <c r="H20" s="114"/>
      <c r="I20" s="114"/>
      <c r="J20" s="113" t="s">
        <v>221</v>
      </c>
      <c r="K20" s="114"/>
      <c r="L20" s="114"/>
      <c r="M20" s="113" t="s">
        <v>222</v>
      </c>
      <c r="N20" s="114"/>
      <c r="O20" s="115"/>
    </row>
    <row r="21" ht="15" customHeight="1" spans="1:15" x14ac:dyDescent="0.25">
      <c r="A21" s="113" t="s">
        <v>223</v>
      </c>
      <c r="B21" s="65" t="s">
        <v>224</v>
      </c>
      <c r="C21" s="65" t="s">
        <v>225</v>
      </c>
      <c r="D21" s="113" t="s">
        <v>223</v>
      </c>
      <c r="E21" s="65" t="s">
        <v>224</v>
      </c>
      <c r="F21" s="65" t="s">
        <v>226</v>
      </c>
      <c r="G21" s="113" t="s">
        <v>223</v>
      </c>
      <c r="H21" s="65" t="s">
        <v>224</v>
      </c>
      <c r="I21" s="65" t="s">
        <v>225</v>
      </c>
      <c r="J21" s="113" t="s">
        <v>223</v>
      </c>
      <c r="K21" s="65" t="s">
        <v>224</v>
      </c>
      <c r="L21" s="65" t="s">
        <v>225</v>
      </c>
      <c r="M21" s="113" t="s">
        <v>223</v>
      </c>
      <c r="N21" s="65" t="s">
        <v>224</v>
      </c>
      <c r="O21" s="116" t="s">
        <v>225</v>
      </c>
    </row>
    <row r="22" ht="13.5" customHeight="1" spans="1:15" x14ac:dyDescent="0.25">
      <c r="A22" s="44">
        <v>0</v>
      </c>
      <c r="B22" s="63">
        <f>'Tax Bracket Calcs'!F$23</f>
        <v>19700</v>
      </c>
      <c r="C22" s="19">
        <v>0.1</v>
      </c>
      <c r="D22" s="44">
        <v>0</v>
      </c>
      <c r="E22" s="63">
        <f>'Tax Bracket Calcs'!M$23</f>
        <v>9850</v>
      </c>
      <c r="F22" s="19">
        <v>0.1</v>
      </c>
      <c r="G22" s="44">
        <v>0</v>
      </c>
      <c r="H22" s="63">
        <f>'Tax Bracket Calcs'!T$23</f>
        <v>14050</v>
      </c>
      <c r="I22" s="19">
        <v>0.1</v>
      </c>
      <c r="J22" s="44">
        <v>0</v>
      </c>
      <c r="K22" s="63">
        <f>'Tax Bracket Calcs'!AA$23</f>
        <v>9850</v>
      </c>
      <c r="L22" s="19">
        <v>0.1</v>
      </c>
      <c r="M22" s="44">
        <v>0</v>
      </c>
      <c r="N22" s="117">
        <f>'Tax Bracket Calcs'!AH$23</f>
        <v>2600</v>
      </c>
      <c r="O22" s="118">
        <v>0.1</v>
      </c>
    </row>
    <row r="23" ht="13.5" customHeight="1" spans="1:15" x14ac:dyDescent="0.25">
      <c r="A23" s="119">
        <f>B22</f>
        <v>19700</v>
      </c>
      <c r="B23" s="63">
        <f>'Tax Bracket Calcs'!G$23</f>
        <v>80150</v>
      </c>
      <c r="C23" s="19">
        <v>0.12</v>
      </c>
      <c r="D23" s="119">
        <f>E22</f>
        <v>9850</v>
      </c>
      <c r="E23" s="63">
        <f>'Tax Bracket Calcs'!N$23</f>
        <v>40075</v>
      </c>
      <c r="F23" s="19">
        <v>0.12</v>
      </c>
      <c r="G23" s="119">
        <f>H22</f>
        <v>14050</v>
      </c>
      <c r="H23" s="63">
        <f>'Tax Bracket Calcs'!U$23</f>
        <v>53650</v>
      </c>
      <c r="I23" s="19">
        <v>0.12</v>
      </c>
      <c r="J23" s="119">
        <f>K22</f>
        <v>9850</v>
      </c>
      <c r="K23" s="63">
        <f>'Tax Bracket Calcs'!AB$23</f>
        <v>40075</v>
      </c>
      <c r="L23" s="19">
        <v>0.12</v>
      </c>
      <c r="M23" s="44">
        <v>0</v>
      </c>
      <c r="N23" s="117" t="str">
        <f>'Tax Bracket Calcs'!AI$23</f>
        <v>unused</v>
      </c>
      <c r="O23" s="120">
        <v>0.12</v>
      </c>
    </row>
    <row r="24" ht="13.5" customHeight="1" spans="1:15" x14ac:dyDescent="0.25">
      <c r="A24" s="119">
        <f>B23</f>
        <v>80150</v>
      </c>
      <c r="B24" s="63">
        <f>'Tax Bracket Calcs'!H$23</f>
        <v>170850</v>
      </c>
      <c r="C24" s="19">
        <v>0.22</v>
      </c>
      <c r="D24" s="119">
        <f>E23</f>
        <v>40075</v>
      </c>
      <c r="E24" s="63">
        <f>'Tax Bracket Calcs'!O$23</f>
        <v>85425</v>
      </c>
      <c r="F24" s="19">
        <v>0.22</v>
      </c>
      <c r="G24" s="119">
        <f>H23</f>
        <v>53650</v>
      </c>
      <c r="H24" s="63">
        <f>'Tax Bracket Calcs'!V$23</f>
        <v>85400</v>
      </c>
      <c r="I24" s="19">
        <v>0.22</v>
      </c>
      <c r="J24" s="119">
        <f>K23</f>
        <v>40075</v>
      </c>
      <c r="K24" s="63">
        <f>'Tax Bracket Calcs'!AC$23</f>
        <v>85425</v>
      </c>
      <c r="L24" s="19">
        <v>0.22</v>
      </c>
      <c r="M24" s="121" t="str">
        <f>N23</f>
        <v>unused</v>
      </c>
      <c r="N24" s="117" t="str">
        <f>'Tax Bracket Calcs'!AJ$23</f>
        <v>unused</v>
      </c>
      <c r="O24" s="122">
        <v>0.22</v>
      </c>
    </row>
    <row r="25" ht="12.75" customHeight="1" spans="1:15" x14ac:dyDescent="0.25">
      <c r="A25" s="119">
        <f>B24</f>
        <v>170850</v>
      </c>
      <c r="B25" s="63">
        <f>'Tax Bracket Calcs'!I$23</f>
        <v>326250</v>
      </c>
      <c r="C25" s="19">
        <v>0.24</v>
      </c>
      <c r="D25" s="119">
        <f>E24</f>
        <v>85425</v>
      </c>
      <c r="E25" s="63">
        <f>'Tax Bracket Calcs'!P$23</f>
        <v>163125</v>
      </c>
      <c r="F25" s="19">
        <v>0.24</v>
      </c>
      <c r="G25" s="119">
        <f>H24</f>
        <v>85400</v>
      </c>
      <c r="H25" s="63">
        <f>'Tax Bracket Calcs'!W$23</f>
        <v>163100</v>
      </c>
      <c r="I25" s="19">
        <v>0.24</v>
      </c>
      <c r="J25" s="119">
        <f>K24</f>
        <v>85425</v>
      </c>
      <c r="K25" s="63">
        <f>'Tax Bracket Calcs'!AD$23</f>
        <v>163125</v>
      </c>
      <c r="L25" s="19">
        <v>0.24</v>
      </c>
      <c r="M25" s="121" t="str">
        <f>N24</f>
        <v>unused</v>
      </c>
      <c r="N25" s="63">
        <f>'Tax Bracket Calcs'!AK$23</f>
        <v>9450</v>
      </c>
      <c r="O25" s="120">
        <v>0.24</v>
      </c>
    </row>
    <row r="26" ht="13.5" customHeight="1" spans="1:15" x14ac:dyDescent="0.25">
      <c r="A26" s="119">
        <f>B25</f>
        <v>326250</v>
      </c>
      <c r="B26" s="63">
        <f>'Tax Bracket Calcs'!J$23</f>
        <v>414250</v>
      </c>
      <c r="C26" s="19">
        <v>0.32</v>
      </c>
      <c r="D26" s="119">
        <f>E25</f>
        <v>163125</v>
      </c>
      <c r="E26" s="63">
        <f>'Tax Bracket Calcs'!Q$23</f>
        <v>207125</v>
      </c>
      <c r="F26" s="19">
        <v>0.32</v>
      </c>
      <c r="G26" s="119">
        <f>H25</f>
        <v>163100</v>
      </c>
      <c r="H26" s="63">
        <f>'Tax Bracket Calcs'!X$23</f>
        <v>207100</v>
      </c>
      <c r="I26" s="19">
        <v>0.32</v>
      </c>
      <c r="J26" s="119">
        <f>K25</f>
        <v>163125</v>
      </c>
      <c r="K26" s="63">
        <f>'Tax Bracket Calcs'!AE$23</f>
        <v>207125</v>
      </c>
      <c r="L26" s="19">
        <v>0.32</v>
      </c>
      <c r="M26" s="119">
        <f>N25</f>
        <v>9450</v>
      </c>
      <c r="N26" s="117" t="str">
        <f>'Tax Bracket Calcs'!AL$23</f>
        <v>unused</v>
      </c>
      <c r="O26" s="122">
        <v>0.32</v>
      </c>
    </row>
    <row r="27" ht="12.75" customHeight="1" spans="1:15" x14ac:dyDescent="0.25">
      <c r="A27" s="119">
        <f>B26</f>
        <v>414250</v>
      </c>
      <c r="B27" s="63">
        <f>'Tax Bracket Calcs'!K$23</f>
        <v>621400</v>
      </c>
      <c r="C27" s="19">
        <v>0.35</v>
      </c>
      <c r="D27" s="119">
        <f>E26</f>
        <v>207125</v>
      </c>
      <c r="E27" s="63">
        <f>'Tax Bracket Calcs'!R$23</f>
        <v>517850</v>
      </c>
      <c r="F27" s="19">
        <v>0.35</v>
      </c>
      <c r="G27" s="119">
        <f>H26</f>
        <v>207100</v>
      </c>
      <c r="H27" s="63">
        <f>'Tax Bracket Calcs'!Y$23</f>
        <v>517850</v>
      </c>
      <c r="I27" s="19">
        <v>0.35</v>
      </c>
      <c r="J27" s="119">
        <f>K26</f>
        <v>207125</v>
      </c>
      <c r="K27" s="63">
        <f>'Tax Bracket Calcs'!AF$23</f>
        <v>310700</v>
      </c>
      <c r="L27" s="19">
        <v>0.35</v>
      </c>
      <c r="M27" s="121" t="str">
        <f>N26</f>
        <v>unused</v>
      </c>
      <c r="N27" s="63">
        <f>'Tax Bracket Calcs'!AM$23</f>
        <v>12900</v>
      </c>
      <c r="O27" s="120">
        <v>0.35</v>
      </c>
    </row>
    <row r="28" ht="13.5" customHeight="1" spans="1:15" x14ac:dyDescent="0.25">
      <c r="A28" s="123">
        <f>B27</f>
        <v>621400</v>
      </c>
      <c r="B28" s="124" t="s">
        <v>35</v>
      </c>
      <c r="C28" s="125">
        <v>0.37</v>
      </c>
      <c r="D28" s="123">
        <f>E27</f>
        <v>517850</v>
      </c>
      <c r="E28" s="124" t="s">
        <v>35</v>
      </c>
      <c r="F28" s="125">
        <v>0.37</v>
      </c>
      <c r="G28" s="123">
        <f>H27</f>
        <v>517850</v>
      </c>
      <c r="H28" s="124" t="s">
        <v>35</v>
      </c>
      <c r="I28" s="125">
        <v>0.37</v>
      </c>
      <c r="J28" s="123">
        <f>K27</f>
        <v>310700</v>
      </c>
      <c r="K28" s="124" t="s">
        <v>35</v>
      </c>
      <c r="L28" s="125">
        <v>0.37</v>
      </c>
      <c r="M28" s="126">
        <f>N27</f>
        <v>12900</v>
      </c>
      <c r="N28" s="124" t="s">
        <v>35</v>
      </c>
      <c r="O28" s="127">
        <v>0.37</v>
      </c>
    </row>
    <row r="29" ht="13.5" customHeight="1" spans="1:15" x14ac:dyDescent="0.25">
      <c r="A29" s="128"/>
      <c r="B29" s="129"/>
      <c r="C29" s="19"/>
      <c r="D29" s="128"/>
      <c r="E29" s="129"/>
      <c r="F29" s="19"/>
      <c r="G29" s="128"/>
      <c r="H29" s="129"/>
      <c r="I29" s="19"/>
      <c r="J29" s="128"/>
      <c r="K29" s="129"/>
      <c r="L29" s="19"/>
      <c r="M29" s="129"/>
      <c r="N29" s="129"/>
      <c r="O29" s="19"/>
    </row>
    <row r="30" ht="12.75" customHeight="1" spans="1:15" x14ac:dyDescent="0.25">
      <c r="A30" s="128"/>
      <c r="B30" s="129"/>
      <c r="C30" s="19"/>
      <c r="D30" s="128"/>
      <c r="E30" s="129"/>
      <c r="F30" s="19"/>
      <c r="G30" s="128"/>
      <c r="H30" s="129"/>
      <c r="I30" s="19"/>
      <c r="J30" s="128"/>
      <c r="K30" s="129"/>
      <c r="L30" s="19"/>
      <c r="M30" s="129"/>
      <c r="N30" s="129"/>
      <c r="O30" s="19"/>
    </row>
    <row r="31" ht="24.75" customHeight="1" spans="1:14" x14ac:dyDescent="0.25">
      <c r="A31" s="91" t="s">
        <v>228</v>
      </c>
      <c r="B31" s="53"/>
      <c r="C31" s="53"/>
      <c r="D31" s="53"/>
      <c r="E31" s="53"/>
      <c r="F31" s="38"/>
      <c r="G31" s="53"/>
      <c r="H31" s="53"/>
      <c r="I31" s="53"/>
      <c r="J31" s="53"/>
      <c r="K31" s="53"/>
      <c r="L31" s="53"/>
      <c r="M31" s="53"/>
      <c r="N31" s="53"/>
    </row>
    <row r="32" ht="15" customHeight="1" spans="1:15" x14ac:dyDescent="0.25">
      <c r="A32" s="113" t="s">
        <v>218</v>
      </c>
      <c r="B32" s="114"/>
      <c r="C32" s="114"/>
      <c r="D32" s="113" t="s">
        <v>219</v>
      </c>
      <c r="E32" s="114"/>
      <c r="F32" s="114"/>
      <c r="G32" s="113" t="s">
        <v>220</v>
      </c>
      <c r="H32" s="114"/>
      <c r="I32" s="114"/>
      <c r="J32" s="113" t="s">
        <v>221</v>
      </c>
      <c r="K32" s="114"/>
      <c r="L32" s="114"/>
      <c r="M32" s="113" t="s">
        <v>222</v>
      </c>
      <c r="N32" s="114"/>
      <c r="O32" s="115"/>
    </row>
    <row r="33" ht="15" customHeight="1" spans="1:15" x14ac:dyDescent="0.25">
      <c r="A33" s="113" t="s">
        <v>223</v>
      </c>
      <c r="B33" s="65" t="s">
        <v>224</v>
      </c>
      <c r="C33" s="65" t="s">
        <v>225</v>
      </c>
      <c r="D33" s="113" t="s">
        <v>223</v>
      </c>
      <c r="E33" s="65" t="s">
        <v>224</v>
      </c>
      <c r="F33" s="65" t="s">
        <v>226</v>
      </c>
      <c r="G33" s="113" t="s">
        <v>223</v>
      </c>
      <c r="H33" s="65" t="s">
        <v>224</v>
      </c>
      <c r="I33" s="65" t="s">
        <v>225</v>
      </c>
      <c r="J33" s="113" t="s">
        <v>223</v>
      </c>
      <c r="K33" s="65" t="s">
        <v>224</v>
      </c>
      <c r="L33" s="65" t="s">
        <v>225</v>
      </c>
      <c r="M33" s="113" t="s">
        <v>223</v>
      </c>
      <c r="N33" s="65" t="s">
        <v>224</v>
      </c>
      <c r="O33" s="116" t="s">
        <v>225</v>
      </c>
    </row>
    <row r="34" ht="13.5" customHeight="1" spans="1:15" x14ac:dyDescent="0.25">
      <c r="A34" s="44">
        <v>0</v>
      </c>
      <c r="B34" s="63">
        <f>'Tax Bracket Calcs'!F$24</f>
        <v>19400</v>
      </c>
      <c r="C34" s="19">
        <v>0.1</v>
      </c>
      <c r="D34" s="44">
        <v>0</v>
      </c>
      <c r="E34" s="63">
        <f>'Tax Bracket Calcs'!M$24</f>
        <v>9700</v>
      </c>
      <c r="F34" s="19">
        <v>0.1</v>
      </c>
      <c r="G34" s="44">
        <v>0</v>
      </c>
      <c r="H34" s="63">
        <f>'Tax Bracket Calcs'!T$24</f>
        <v>13850</v>
      </c>
      <c r="I34" s="19">
        <v>0.1</v>
      </c>
      <c r="J34" s="44">
        <v>0</v>
      </c>
      <c r="K34" s="63">
        <f>'Tax Bracket Calcs'!AA$24</f>
        <v>9700</v>
      </c>
      <c r="L34" s="19">
        <v>0.1</v>
      </c>
      <c r="M34" s="44">
        <v>0</v>
      </c>
      <c r="N34" s="117">
        <f>'Tax Bracket Calcs'!AH$24</f>
        <v>2600</v>
      </c>
      <c r="O34" s="118">
        <v>0.1</v>
      </c>
    </row>
    <row r="35" ht="13.5" customHeight="1" spans="1:15" x14ac:dyDescent="0.25">
      <c r="A35" s="119">
        <f>B34</f>
        <v>19400</v>
      </c>
      <c r="B35" s="63">
        <f>'Tax Bracket Calcs'!G$24</f>
        <v>78900</v>
      </c>
      <c r="C35" s="19">
        <v>0.12</v>
      </c>
      <c r="D35" s="119">
        <f>E34</f>
        <v>9700</v>
      </c>
      <c r="E35" s="63">
        <f>'Tax Bracket Calcs'!N$24</f>
        <v>39450</v>
      </c>
      <c r="F35" s="19">
        <v>0.12</v>
      </c>
      <c r="G35" s="119">
        <f>H34</f>
        <v>13850</v>
      </c>
      <c r="H35" s="63">
        <f>'Tax Bracket Calcs'!U$24</f>
        <v>52800</v>
      </c>
      <c r="I35" s="19">
        <v>0.12</v>
      </c>
      <c r="J35" s="119">
        <f>K34</f>
        <v>9700</v>
      </c>
      <c r="K35" s="63">
        <f>'Tax Bracket Calcs'!AB$24</f>
        <v>39450</v>
      </c>
      <c r="L35" s="19">
        <v>0.12</v>
      </c>
      <c r="M35" s="44">
        <v>0</v>
      </c>
      <c r="N35" s="117" t="str">
        <f>'Tax Bracket Calcs'!AI$24</f>
        <v>unused</v>
      </c>
      <c r="O35" s="120">
        <v>0.12</v>
      </c>
    </row>
    <row r="36" ht="13.5" customHeight="1" spans="1:15" x14ac:dyDescent="0.25">
      <c r="A36" s="119">
        <f>B35</f>
        <v>78900</v>
      </c>
      <c r="B36" s="63">
        <f>'Tax Bracket Calcs'!H$24</f>
        <v>168250</v>
      </c>
      <c r="C36" s="19">
        <v>0.22</v>
      </c>
      <c r="D36" s="119">
        <f>E35</f>
        <v>39450</v>
      </c>
      <c r="E36" s="63">
        <f>'Tax Bracket Calcs'!O$24</f>
        <v>84125</v>
      </c>
      <c r="F36" s="19">
        <v>0.22</v>
      </c>
      <c r="G36" s="119">
        <f>H35</f>
        <v>52800</v>
      </c>
      <c r="H36" s="63">
        <f>'Tax Bracket Calcs'!V$24</f>
        <v>84100</v>
      </c>
      <c r="I36" s="19">
        <v>0.22</v>
      </c>
      <c r="J36" s="119">
        <f>K35</f>
        <v>39450</v>
      </c>
      <c r="K36" s="63">
        <f>'Tax Bracket Calcs'!AC$24</f>
        <v>84125</v>
      </c>
      <c r="L36" s="19">
        <v>0.22</v>
      </c>
      <c r="M36" s="119" t="str">
        <f>N35</f>
        <v>unused</v>
      </c>
      <c r="N36" s="117" t="str">
        <f>'Tax Bracket Calcs'!AJ$24</f>
        <v>unused</v>
      </c>
      <c r="O36" s="122">
        <v>0.22</v>
      </c>
    </row>
    <row r="37" ht="12.75" customHeight="1" spans="1:15" x14ac:dyDescent="0.25">
      <c r="A37" s="119">
        <f>B36</f>
        <v>168250</v>
      </c>
      <c r="B37" s="63">
        <f>'Tax Bracket Calcs'!I$24</f>
        <v>321250</v>
      </c>
      <c r="C37" s="19">
        <v>0.24</v>
      </c>
      <c r="D37" s="119">
        <f>E36</f>
        <v>84125</v>
      </c>
      <c r="E37" s="63">
        <f>'Tax Bracket Calcs'!P$24</f>
        <v>160625</v>
      </c>
      <c r="F37" s="19">
        <v>0.24</v>
      </c>
      <c r="G37" s="119">
        <f>H36</f>
        <v>84100</v>
      </c>
      <c r="H37" s="63">
        <f>'Tax Bracket Calcs'!W$24</f>
        <v>160600</v>
      </c>
      <c r="I37" s="19">
        <v>0.24</v>
      </c>
      <c r="J37" s="119">
        <f>K36</f>
        <v>84125</v>
      </c>
      <c r="K37" s="63">
        <f>'Tax Bracket Calcs'!AD$24</f>
        <v>160625</v>
      </c>
      <c r="L37" s="19">
        <v>0.24</v>
      </c>
      <c r="M37" s="121" t="str">
        <f>N36</f>
        <v>unused</v>
      </c>
      <c r="N37" s="63">
        <f>'Tax Bracket Calcs'!AK$24</f>
        <v>9300</v>
      </c>
      <c r="O37" s="120">
        <v>0.24</v>
      </c>
    </row>
    <row r="38" ht="13.5" customHeight="1" spans="1:15" x14ac:dyDescent="0.25">
      <c r="A38" s="119">
        <f>B37</f>
        <v>321250</v>
      </c>
      <c r="B38" s="63">
        <f>'Tax Bracket Calcs'!J$24</f>
        <v>407950</v>
      </c>
      <c r="C38" s="19">
        <v>0.32</v>
      </c>
      <c r="D38" s="119">
        <f>E37</f>
        <v>160625</v>
      </c>
      <c r="E38" s="63">
        <f>'Tax Bracket Calcs'!Q$24</f>
        <v>203975</v>
      </c>
      <c r="F38" s="19">
        <v>0.32</v>
      </c>
      <c r="G38" s="119">
        <f>H37</f>
        <v>160600</v>
      </c>
      <c r="H38" s="63">
        <f>'Tax Bracket Calcs'!X$24</f>
        <v>203950</v>
      </c>
      <c r="I38" s="19">
        <v>0.32</v>
      </c>
      <c r="J38" s="119">
        <f>K37</f>
        <v>160625</v>
      </c>
      <c r="K38" s="63">
        <f>'Tax Bracket Calcs'!AE$24</f>
        <v>203975</v>
      </c>
      <c r="L38" s="19">
        <v>0.32</v>
      </c>
      <c r="M38" s="119">
        <f>N37</f>
        <v>9300</v>
      </c>
      <c r="N38" s="117" t="str">
        <f>'Tax Bracket Calcs'!AL$24</f>
        <v>unused</v>
      </c>
      <c r="O38" s="122">
        <v>0.32</v>
      </c>
    </row>
    <row r="39" ht="12.75" customHeight="1" spans="1:15" x14ac:dyDescent="0.25">
      <c r="A39" s="119">
        <f>B38</f>
        <v>407950</v>
      </c>
      <c r="B39" s="63">
        <f>'Tax Bracket Calcs'!K$24</f>
        <v>611950</v>
      </c>
      <c r="C39" s="19">
        <v>0.35</v>
      </c>
      <c r="D39" s="119">
        <f>E38</f>
        <v>203975</v>
      </c>
      <c r="E39" s="63">
        <f>'Tax Bracket Calcs'!R$24</f>
        <v>509950</v>
      </c>
      <c r="F39" s="19">
        <v>0.35</v>
      </c>
      <c r="G39" s="119">
        <f>H38</f>
        <v>203950</v>
      </c>
      <c r="H39" s="63">
        <f>'Tax Bracket Calcs'!Y$24</f>
        <v>509950</v>
      </c>
      <c r="I39" s="19">
        <v>0.35</v>
      </c>
      <c r="J39" s="119">
        <f>K38</f>
        <v>203975</v>
      </c>
      <c r="K39" s="63">
        <f>'Tax Bracket Calcs'!AF$24</f>
        <v>305975</v>
      </c>
      <c r="L39" s="19">
        <v>0.35</v>
      </c>
      <c r="M39" s="121" t="str">
        <f>N38</f>
        <v>unused</v>
      </c>
      <c r="N39" s="63">
        <f>'Tax Bracket Calcs'!AM$24</f>
        <v>12700</v>
      </c>
      <c r="O39" s="120">
        <v>0.35</v>
      </c>
    </row>
    <row r="40" ht="13.5" customHeight="1" spans="1:15" x14ac:dyDescent="0.25">
      <c r="A40" s="123">
        <f>B39</f>
        <v>611950</v>
      </c>
      <c r="B40" s="124" t="s">
        <v>35</v>
      </c>
      <c r="C40" s="125">
        <v>0.37</v>
      </c>
      <c r="D40" s="123">
        <f>E39</f>
        <v>509950</v>
      </c>
      <c r="E40" s="124" t="s">
        <v>35</v>
      </c>
      <c r="F40" s="125">
        <v>0.37</v>
      </c>
      <c r="G40" s="123">
        <f>H39</f>
        <v>509950</v>
      </c>
      <c r="H40" s="124" t="s">
        <v>35</v>
      </c>
      <c r="I40" s="125">
        <v>0.37</v>
      </c>
      <c r="J40" s="123">
        <f>K39</f>
        <v>305975</v>
      </c>
      <c r="K40" s="124" t="s">
        <v>35</v>
      </c>
      <c r="L40" s="125">
        <v>0.37</v>
      </c>
      <c r="M40" s="126">
        <f>N39</f>
        <v>12700</v>
      </c>
      <c r="N40" s="124" t="s">
        <v>35</v>
      </c>
      <c r="O40" s="127">
        <v>0.37</v>
      </c>
    </row>
    <row r="41" ht="13.5" customHeight="1" spans="1:1" x14ac:dyDescent="0.25">
      <c r="A41" s="20"/>
    </row>
    <row r="42" ht="12.75" customHeight="1" spans="1:1" x14ac:dyDescent="0.25">
      <c r="A42" s="20"/>
    </row>
    <row r="43" ht="24.75" customHeight="1" spans="1:14" x14ac:dyDescent="0.25">
      <c r="A43" s="91" t="s">
        <v>229</v>
      </c>
      <c r="B43" s="53"/>
      <c r="C43" s="53"/>
      <c r="D43" s="53"/>
      <c r="E43" s="53"/>
      <c r="F43" s="38"/>
      <c r="G43" s="53"/>
      <c r="H43" s="53"/>
      <c r="I43" s="53"/>
      <c r="J43" s="53"/>
      <c r="K43" s="53"/>
      <c r="L43" s="53"/>
      <c r="M43" s="53"/>
      <c r="N43" s="53"/>
    </row>
    <row r="44" ht="15" customHeight="1" spans="1:15" x14ac:dyDescent="0.25">
      <c r="A44" s="113" t="s">
        <v>218</v>
      </c>
      <c r="B44" s="114"/>
      <c r="C44" s="114"/>
      <c r="D44" s="113" t="s">
        <v>219</v>
      </c>
      <c r="E44" s="114"/>
      <c r="F44" s="114"/>
      <c r="G44" s="113" t="s">
        <v>220</v>
      </c>
      <c r="H44" s="114"/>
      <c r="I44" s="114"/>
      <c r="J44" s="113" t="s">
        <v>221</v>
      </c>
      <c r="K44" s="114"/>
      <c r="L44" s="114"/>
      <c r="M44" s="113" t="s">
        <v>222</v>
      </c>
      <c r="N44" s="114"/>
      <c r="O44" s="115"/>
    </row>
    <row r="45" ht="15" customHeight="1" spans="1:15" x14ac:dyDescent="0.25">
      <c r="A45" s="113" t="s">
        <v>223</v>
      </c>
      <c r="B45" s="65" t="s">
        <v>224</v>
      </c>
      <c r="C45" s="65" t="s">
        <v>225</v>
      </c>
      <c r="D45" s="113" t="s">
        <v>223</v>
      </c>
      <c r="E45" s="65" t="s">
        <v>224</v>
      </c>
      <c r="F45" s="65" t="s">
        <v>226</v>
      </c>
      <c r="G45" s="113" t="s">
        <v>223</v>
      </c>
      <c r="H45" s="65" t="s">
        <v>224</v>
      </c>
      <c r="I45" s="65" t="s">
        <v>225</v>
      </c>
      <c r="J45" s="113" t="s">
        <v>223</v>
      </c>
      <c r="K45" s="65" t="s">
        <v>224</v>
      </c>
      <c r="L45" s="65" t="s">
        <v>225</v>
      </c>
      <c r="M45" s="113" t="s">
        <v>223</v>
      </c>
      <c r="N45" s="65" t="s">
        <v>224</v>
      </c>
      <c r="O45" s="116" t="s">
        <v>225</v>
      </c>
    </row>
    <row r="46" ht="13.5" customHeight="1" spans="1:15" x14ac:dyDescent="0.25">
      <c r="A46" s="44">
        <v>0</v>
      </c>
      <c r="B46" s="63">
        <f>'Tax Bracket Calcs'!F$25</f>
        <v>19050</v>
      </c>
      <c r="C46" s="19">
        <v>0.1</v>
      </c>
      <c r="D46" s="44">
        <v>0</v>
      </c>
      <c r="E46" s="63">
        <f>'Tax Bracket Calcs'!M$25</f>
        <v>9525</v>
      </c>
      <c r="F46" s="19">
        <v>0.1</v>
      </c>
      <c r="G46" s="44">
        <v>0</v>
      </c>
      <c r="H46" s="63">
        <f>'Tax Bracket Calcs'!T$25</f>
        <v>13600</v>
      </c>
      <c r="I46" s="19">
        <v>0.1</v>
      </c>
      <c r="J46" s="44">
        <v>0</v>
      </c>
      <c r="K46" s="63">
        <f>'Tax Bracket Calcs'!AA$25</f>
        <v>9525</v>
      </c>
      <c r="L46" s="19">
        <v>0.1</v>
      </c>
      <c r="M46" s="44">
        <v>0</v>
      </c>
      <c r="N46" s="63">
        <f>'Tax Bracket Calcs'!AH$25</f>
        <v>2550</v>
      </c>
      <c r="O46" s="120">
        <v>0.1</v>
      </c>
    </row>
    <row r="47" ht="13.5" customHeight="1" spans="1:15" x14ac:dyDescent="0.25">
      <c r="A47" s="119">
        <f>B46</f>
        <v>19050</v>
      </c>
      <c r="B47" s="63">
        <f>'Tax Bracket Calcs'!G$25</f>
        <v>77400</v>
      </c>
      <c r="C47" s="19">
        <v>0.12</v>
      </c>
      <c r="D47" s="119">
        <f>E46</f>
        <v>9525</v>
      </c>
      <c r="E47" s="63">
        <f>'Tax Bracket Calcs'!N$25</f>
        <v>38700</v>
      </c>
      <c r="F47" s="19">
        <v>0.15</v>
      </c>
      <c r="G47" s="119">
        <f>H46</f>
        <v>13600</v>
      </c>
      <c r="H47" s="63">
        <f>'Tax Bracket Calcs'!U$25</f>
        <v>51800</v>
      </c>
      <c r="I47" s="19">
        <v>0.15</v>
      </c>
      <c r="J47" s="119">
        <f>K46</f>
        <v>9525</v>
      </c>
      <c r="K47" s="63">
        <f>'Tax Bracket Calcs'!AB$25</f>
        <v>38700</v>
      </c>
      <c r="L47" s="19">
        <v>0.15</v>
      </c>
      <c r="M47" s="44">
        <v>0</v>
      </c>
      <c r="N47" s="63" t="str">
        <f>'Tax Bracket Calcs'!AI$25</f>
        <v>unused</v>
      </c>
      <c r="O47" s="120">
        <v>0.15</v>
      </c>
    </row>
    <row r="48" ht="13.5" customHeight="1" spans="1:15" x14ac:dyDescent="0.25">
      <c r="A48" s="119">
        <f>B47</f>
        <v>77400</v>
      </c>
      <c r="B48" s="63">
        <f>'Tax Bracket Calcs'!H$25</f>
        <v>165000</v>
      </c>
      <c r="C48" s="19">
        <v>0.22</v>
      </c>
      <c r="D48" s="119">
        <f>E47</f>
        <v>38700</v>
      </c>
      <c r="E48" s="63">
        <f>'Tax Bracket Calcs'!O$25</f>
        <v>82500</v>
      </c>
      <c r="F48" s="19">
        <v>0.25</v>
      </c>
      <c r="G48" s="119">
        <f>H47</f>
        <v>51800</v>
      </c>
      <c r="H48" s="63">
        <f>'Tax Bracket Calcs'!V$25</f>
        <v>82500</v>
      </c>
      <c r="I48" s="19">
        <v>0.25</v>
      </c>
      <c r="J48" s="119">
        <f>K47</f>
        <v>38700</v>
      </c>
      <c r="K48" s="63">
        <f>'Tax Bracket Calcs'!AC$25</f>
        <v>82500</v>
      </c>
      <c r="L48" s="19">
        <v>0.25</v>
      </c>
      <c r="M48" s="119" t="str">
        <f>N47</f>
        <v>unused</v>
      </c>
      <c r="N48" s="117" t="str">
        <f>'Tax Bracket Calcs'!AJ$25</f>
        <v>unused</v>
      </c>
      <c r="O48" s="122">
        <v>0.25</v>
      </c>
    </row>
    <row r="49" ht="12.75" customHeight="1" spans="1:15" x14ac:dyDescent="0.25">
      <c r="A49" s="119">
        <f>B48</f>
        <v>165000</v>
      </c>
      <c r="B49" s="63">
        <f>'Tax Bracket Calcs'!I$25</f>
        <v>315000</v>
      </c>
      <c r="C49" s="19">
        <v>0.24</v>
      </c>
      <c r="D49" s="119">
        <f>E48</f>
        <v>82500</v>
      </c>
      <c r="E49" s="63">
        <f>'Tax Bracket Calcs'!P$25</f>
        <v>157500</v>
      </c>
      <c r="F49" s="19">
        <v>0.28</v>
      </c>
      <c r="G49" s="119">
        <f>H48</f>
        <v>82500</v>
      </c>
      <c r="H49" s="63">
        <f>'Tax Bracket Calcs'!W$25</f>
        <v>157500</v>
      </c>
      <c r="I49" s="19">
        <v>0.28</v>
      </c>
      <c r="J49" s="119">
        <f>K48</f>
        <v>82500</v>
      </c>
      <c r="K49" s="63">
        <f>'Tax Bracket Calcs'!AD$25</f>
        <v>157500</v>
      </c>
      <c r="L49" s="19">
        <v>0.28</v>
      </c>
      <c r="M49" s="121" t="str">
        <f>N48</f>
        <v>unused</v>
      </c>
      <c r="N49" s="63">
        <f>'Tax Bracket Calcs'!AK$25</f>
        <v>9150</v>
      </c>
      <c r="O49" s="120">
        <v>0.28</v>
      </c>
    </row>
    <row r="50" ht="13.5" customHeight="1" spans="1:15" x14ac:dyDescent="0.25">
      <c r="A50" s="119">
        <f>B49</f>
        <v>315000</v>
      </c>
      <c r="B50" s="63">
        <f>'Tax Bracket Calcs'!J$25</f>
        <v>400000</v>
      </c>
      <c r="C50" s="19">
        <v>0.32</v>
      </c>
      <c r="D50" s="119">
        <f>E49</f>
        <v>157500</v>
      </c>
      <c r="E50" s="63">
        <f>'Tax Bracket Calcs'!Q$25</f>
        <v>200000</v>
      </c>
      <c r="F50" s="19">
        <v>0.33</v>
      </c>
      <c r="G50" s="119">
        <f>H49</f>
        <v>157500</v>
      </c>
      <c r="H50" s="63">
        <f>'Tax Bracket Calcs'!X$25</f>
        <v>200000</v>
      </c>
      <c r="I50" s="19">
        <v>0.33</v>
      </c>
      <c r="J50" s="119">
        <f>K49</f>
        <v>157500</v>
      </c>
      <c r="K50" s="63">
        <f>'Tax Bracket Calcs'!AE$25</f>
        <v>200000</v>
      </c>
      <c r="L50" s="19">
        <v>0.33</v>
      </c>
      <c r="M50" s="119">
        <f>N49</f>
        <v>9150</v>
      </c>
      <c r="N50" s="117" t="str">
        <f>'Tax Bracket Calcs'!AL$25</f>
        <v>unused</v>
      </c>
      <c r="O50" s="120">
        <v>0.33</v>
      </c>
    </row>
    <row r="51" ht="12.75" customHeight="1" spans="1:15" x14ac:dyDescent="0.25">
      <c r="A51" s="119">
        <f>B50</f>
        <v>400000</v>
      </c>
      <c r="B51" s="63">
        <f>'Tax Bracket Calcs'!K$25</f>
        <v>600000</v>
      </c>
      <c r="C51" s="19">
        <v>0.35</v>
      </c>
      <c r="D51" s="119">
        <f>E50</f>
        <v>200000</v>
      </c>
      <c r="E51" s="63">
        <f>'Tax Bracket Calcs'!R$25</f>
        <v>500000</v>
      </c>
      <c r="F51" s="19">
        <v>0.35</v>
      </c>
      <c r="G51" s="119">
        <f>H50</f>
        <v>200000</v>
      </c>
      <c r="H51" s="63">
        <f>'Tax Bracket Calcs'!Y$25</f>
        <v>500000</v>
      </c>
      <c r="I51" s="19">
        <v>0.35</v>
      </c>
      <c r="J51" s="119">
        <f>K50</f>
        <v>200000</v>
      </c>
      <c r="K51" s="63">
        <f>'Tax Bracket Calcs'!AF$25</f>
        <v>300000</v>
      </c>
      <c r="L51" s="19">
        <v>0.35</v>
      </c>
      <c r="M51" s="121" t="str">
        <f>N50</f>
        <v>unused</v>
      </c>
      <c r="N51" s="63">
        <f>'Tax Bracket Calcs'!AM$25</f>
        <v>12500</v>
      </c>
      <c r="O51" s="122">
        <v>0.35</v>
      </c>
    </row>
    <row r="52" ht="13.5" customHeight="1" spans="1:15" x14ac:dyDescent="0.25">
      <c r="A52" s="123">
        <f>B51</f>
        <v>600000</v>
      </c>
      <c r="B52" s="124" t="s">
        <v>35</v>
      </c>
      <c r="C52" s="125">
        <v>0.37</v>
      </c>
      <c r="D52" s="123">
        <f>E51</f>
        <v>500000</v>
      </c>
      <c r="E52" s="124" t="s">
        <v>35</v>
      </c>
      <c r="F52" s="125">
        <v>0.396</v>
      </c>
      <c r="G52" s="123">
        <f>H51</f>
        <v>500000</v>
      </c>
      <c r="H52" s="124" t="s">
        <v>35</v>
      </c>
      <c r="I52" s="125">
        <v>0.396</v>
      </c>
      <c r="J52" s="123">
        <f>K51</f>
        <v>300000</v>
      </c>
      <c r="K52" s="124" t="s">
        <v>35</v>
      </c>
      <c r="L52" s="125">
        <v>0.396</v>
      </c>
      <c r="M52" s="126">
        <f>N51</f>
        <v>12500</v>
      </c>
      <c r="N52" s="124" t="s">
        <v>35</v>
      </c>
      <c r="O52" s="127">
        <v>0.396</v>
      </c>
    </row>
    <row r="53" ht="13.5" customHeight="1" spans="1:14" x14ac:dyDescent="0.25">
      <c r="A53" s="18"/>
      <c r="B53" s="53"/>
      <c r="C53" s="53"/>
      <c r="D53" s="53"/>
      <c r="E53" s="53"/>
      <c r="F53" s="38"/>
      <c r="G53" s="53"/>
      <c r="H53" s="53"/>
      <c r="I53" s="53"/>
      <c r="J53" s="53"/>
      <c r="K53" s="53"/>
      <c r="L53" s="53"/>
      <c r="M53" s="53"/>
      <c r="N53" s="53"/>
    </row>
    <row r="54" ht="12.75" customHeight="1" spans="1:14" x14ac:dyDescent="0.25">
      <c r="A54" s="18"/>
      <c r="B54" s="53"/>
      <c r="C54" s="53"/>
      <c r="D54" s="53"/>
      <c r="E54" s="53"/>
      <c r="F54" s="38"/>
      <c r="G54" s="53"/>
      <c r="H54" s="53"/>
      <c r="I54" s="53"/>
      <c r="J54" s="53"/>
      <c r="K54" s="53"/>
      <c r="L54" s="53"/>
      <c r="M54" s="53"/>
      <c r="N54" s="53"/>
    </row>
    <row r="55" ht="24.75" customHeight="1" spans="1:14" x14ac:dyDescent="0.25">
      <c r="A55" s="14" t="s">
        <v>230</v>
      </c>
      <c r="B55" s="53"/>
      <c r="C55" s="53"/>
      <c r="D55" s="53"/>
      <c r="E55" s="53"/>
      <c r="F55" s="38"/>
      <c r="G55" s="53"/>
      <c r="H55" s="53"/>
      <c r="I55" s="53"/>
      <c r="J55" s="53"/>
      <c r="K55" s="53"/>
      <c r="L55" s="53"/>
      <c r="M55" s="53"/>
      <c r="N55" s="53"/>
    </row>
    <row r="56" ht="24.75" customHeight="1" spans="1:15" x14ac:dyDescent="0.25">
      <c r="A56" s="80" t="s">
        <v>228</v>
      </c>
      <c r="B56" s="130"/>
      <c r="C56" s="130"/>
      <c r="D56" s="130"/>
      <c r="E56" s="130"/>
      <c r="F56" s="131"/>
      <c r="G56" s="130"/>
      <c r="H56" s="130"/>
      <c r="I56" s="130"/>
      <c r="J56" s="130"/>
      <c r="K56" s="130"/>
      <c r="L56" s="130"/>
      <c r="M56" s="130"/>
      <c r="N56" s="130"/>
      <c r="O56" s="132"/>
    </row>
    <row r="57" ht="15" customHeight="1" spans="1:15" x14ac:dyDescent="0.25">
      <c r="A57" s="113" t="s">
        <v>218</v>
      </c>
      <c r="B57" s="114"/>
      <c r="C57" s="114"/>
      <c r="D57" s="113" t="s">
        <v>219</v>
      </c>
      <c r="E57" s="114"/>
      <c r="F57" s="114"/>
      <c r="G57" s="113" t="s">
        <v>220</v>
      </c>
      <c r="H57" s="114"/>
      <c r="I57" s="114"/>
      <c r="J57" s="113" t="s">
        <v>221</v>
      </c>
      <c r="K57" s="114"/>
      <c r="L57" s="114"/>
      <c r="M57" s="113" t="s">
        <v>222</v>
      </c>
      <c r="N57" s="114"/>
      <c r="O57" s="115"/>
    </row>
    <row r="58" ht="15" customHeight="1" spans="1:15" x14ac:dyDescent="0.25">
      <c r="A58" s="113" t="s">
        <v>223</v>
      </c>
      <c r="B58" s="65" t="s">
        <v>224</v>
      </c>
      <c r="C58" s="65" t="s">
        <v>225</v>
      </c>
      <c r="D58" s="113" t="s">
        <v>223</v>
      </c>
      <c r="E58" s="65" t="s">
        <v>224</v>
      </c>
      <c r="F58" s="65" t="s">
        <v>225</v>
      </c>
      <c r="G58" s="113" t="s">
        <v>223</v>
      </c>
      <c r="H58" s="65" t="s">
        <v>224</v>
      </c>
      <c r="I58" s="65" t="s">
        <v>225</v>
      </c>
      <c r="J58" s="113" t="s">
        <v>223</v>
      </c>
      <c r="K58" s="65" t="s">
        <v>224</v>
      </c>
      <c r="L58" s="65" t="s">
        <v>225</v>
      </c>
      <c r="M58" s="113" t="s">
        <v>223</v>
      </c>
      <c r="N58" s="65" t="s">
        <v>224</v>
      </c>
      <c r="O58" s="116" t="s">
        <v>225</v>
      </c>
    </row>
    <row r="59" ht="13.5" customHeight="1" spans="1:15" x14ac:dyDescent="0.25">
      <c r="A59" s="44">
        <v>0</v>
      </c>
      <c r="B59" s="63">
        <f>'Tax Bracket Calcs'!F$71</f>
        <v>19350</v>
      </c>
      <c r="C59" s="19">
        <v>0.1</v>
      </c>
      <c r="D59" s="133">
        <v>0</v>
      </c>
      <c r="E59" s="63">
        <f>'Tax Bracket Calcs'!M$71</f>
        <v>9675</v>
      </c>
      <c r="F59" s="19">
        <v>0.1</v>
      </c>
      <c r="G59" s="133">
        <v>0</v>
      </c>
      <c r="H59" s="63">
        <f>'Tax Bracket Calcs'!T$71</f>
        <v>13800</v>
      </c>
      <c r="I59" s="19">
        <v>0.1</v>
      </c>
      <c r="J59" s="133">
        <v>0</v>
      </c>
      <c r="K59" s="63">
        <f>'Tax Bracket Calcs'!AA$71</f>
        <v>9675</v>
      </c>
      <c r="L59" s="19">
        <v>0.1</v>
      </c>
      <c r="M59" s="133">
        <v>0</v>
      </c>
      <c r="N59" s="63">
        <f>'Tax Bracket Calcs'!AH$71</f>
        <v>0</v>
      </c>
      <c r="O59" s="120">
        <v>0.1</v>
      </c>
    </row>
    <row r="60" ht="12.75" customHeight="1" spans="1:15" x14ac:dyDescent="0.25">
      <c r="A60" s="119">
        <f>B59</f>
        <v>19350</v>
      </c>
      <c r="B60" s="63">
        <f>'Tax Bracket Calcs'!G$71</f>
        <v>78700</v>
      </c>
      <c r="C60" s="19">
        <v>0.15</v>
      </c>
      <c r="D60" s="119">
        <f>E59</f>
        <v>9675</v>
      </c>
      <c r="E60" s="63">
        <f>'Tax Bracket Calcs'!N$71</f>
        <v>39350</v>
      </c>
      <c r="F60" s="19">
        <v>0.15</v>
      </c>
      <c r="G60" s="119">
        <f>H59</f>
        <v>13800</v>
      </c>
      <c r="H60" s="63">
        <f>'Tax Bracket Calcs'!U$71</f>
        <v>52700</v>
      </c>
      <c r="I60" s="19">
        <v>0.15</v>
      </c>
      <c r="J60" s="119">
        <f>K59</f>
        <v>9675</v>
      </c>
      <c r="K60" s="63">
        <f>'Tax Bracket Calcs'!AB$71</f>
        <v>39350</v>
      </c>
      <c r="L60" s="19">
        <v>0.15</v>
      </c>
      <c r="M60" s="44">
        <v>0</v>
      </c>
      <c r="N60" s="63">
        <f>'Tax Bracket Calcs'!AI$71</f>
        <v>2650</v>
      </c>
      <c r="O60" s="120">
        <v>0.15</v>
      </c>
    </row>
    <row r="61" ht="12.75" customHeight="1" spans="1:15" x14ac:dyDescent="0.25">
      <c r="A61" s="119">
        <f>B60</f>
        <v>78700</v>
      </c>
      <c r="B61" s="63">
        <f>'Tax Bracket Calcs'!H$71</f>
        <v>158750</v>
      </c>
      <c r="C61" s="19">
        <v>0.25</v>
      </c>
      <c r="D61" s="119">
        <f>E60</f>
        <v>39350</v>
      </c>
      <c r="E61" s="63">
        <f>'Tax Bracket Calcs'!O$71</f>
        <v>95250</v>
      </c>
      <c r="F61" s="19">
        <v>0.25</v>
      </c>
      <c r="G61" s="119">
        <f>H60</f>
        <v>52700</v>
      </c>
      <c r="H61" s="63">
        <f>'Tax Bracket Calcs'!V$71</f>
        <v>136050</v>
      </c>
      <c r="I61" s="19">
        <v>0.25</v>
      </c>
      <c r="J61" s="119">
        <f>K60</f>
        <v>39350</v>
      </c>
      <c r="K61" s="63">
        <f>'Tax Bracket Calcs'!AC$71</f>
        <v>79375</v>
      </c>
      <c r="L61" s="19">
        <v>0.25</v>
      </c>
      <c r="M61" s="119">
        <f>N60</f>
        <v>2650</v>
      </c>
      <c r="N61" s="63">
        <f>'Tax Bracket Calcs'!AJ$71</f>
        <v>6200</v>
      </c>
      <c r="O61" s="120">
        <v>0.25</v>
      </c>
    </row>
    <row r="62" ht="12.75" customHeight="1" spans="1:15" x14ac:dyDescent="0.25">
      <c r="A62" s="119">
        <f>B61</f>
        <v>158750</v>
      </c>
      <c r="B62" s="63">
        <f>'Tax Bracket Calcs'!I$71</f>
        <v>241900</v>
      </c>
      <c r="C62" s="19">
        <v>0.28</v>
      </c>
      <c r="D62" s="119">
        <f>E61</f>
        <v>95250</v>
      </c>
      <c r="E62" s="63">
        <f>'Tax Bracket Calcs'!P$71</f>
        <v>198700</v>
      </c>
      <c r="F62" s="19">
        <v>0.28</v>
      </c>
      <c r="G62" s="119">
        <f>H61</f>
        <v>136050</v>
      </c>
      <c r="H62" s="63">
        <f>'Tax Bracket Calcs'!W$71</f>
        <v>220300</v>
      </c>
      <c r="I62" s="19">
        <v>0.28</v>
      </c>
      <c r="J62" s="119">
        <f>K61</f>
        <v>79375</v>
      </c>
      <c r="K62" s="63">
        <f>'Tax Bracket Calcs'!AD$71</f>
        <v>120950</v>
      </c>
      <c r="L62" s="19">
        <v>0.28</v>
      </c>
      <c r="M62" s="119">
        <f>N61</f>
        <v>6200</v>
      </c>
      <c r="N62" s="63">
        <f>'Tax Bracket Calcs'!AK$71</f>
        <v>9500</v>
      </c>
      <c r="O62" s="120">
        <v>0.28</v>
      </c>
    </row>
    <row r="63" ht="12.75" customHeight="1" spans="1:15" x14ac:dyDescent="0.25">
      <c r="A63" s="119">
        <f>B62</f>
        <v>241900</v>
      </c>
      <c r="B63" s="63">
        <f>'Tax Bracket Calcs'!J$71</f>
        <v>432000</v>
      </c>
      <c r="C63" s="19">
        <v>0.33</v>
      </c>
      <c r="D63" s="119">
        <f>E62</f>
        <v>198700</v>
      </c>
      <c r="E63" s="63">
        <f>'Tax Bracket Calcs'!Q$71</f>
        <v>432000</v>
      </c>
      <c r="F63" s="19">
        <v>0.33</v>
      </c>
      <c r="G63" s="119">
        <f>H62</f>
        <v>220300</v>
      </c>
      <c r="H63" s="63">
        <f>'Tax Bracket Calcs'!X$71</f>
        <v>432000</v>
      </c>
      <c r="I63" s="19">
        <v>0.33</v>
      </c>
      <c r="J63" s="119">
        <f>K62</f>
        <v>120950</v>
      </c>
      <c r="K63" s="63">
        <f>'Tax Bracket Calcs'!AE$71</f>
        <v>216000</v>
      </c>
      <c r="L63" s="19">
        <v>0.33</v>
      </c>
      <c r="M63" s="119">
        <f>N62</f>
        <v>9500</v>
      </c>
      <c r="N63" s="63">
        <f>'Tax Bracket Calcs'!AL$71</f>
        <v>12950</v>
      </c>
      <c r="O63" s="120">
        <v>0.33</v>
      </c>
    </row>
    <row r="64" ht="13.5" customHeight="1" spans="1:15" x14ac:dyDescent="0.25">
      <c r="A64" s="119">
        <f>B63</f>
        <v>432000</v>
      </c>
      <c r="B64" s="63">
        <f>'Tax Bracket Calcs'!K$71</f>
        <v>488000</v>
      </c>
      <c r="C64" s="19">
        <v>0.35</v>
      </c>
      <c r="D64" s="119">
        <f>E63</f>
        <v>432000</v>
      </c>
      <c r="E64" s="63">
        <f>'Tax Bracket Calcs'!R$71</f>
        <v>433750</v>
      </c>
      <c r="F64" s="19">
        <v>0.35</v>
      </c>
      <c r="G64" s="119">
        <f>H63</f>
        <v>432000</v>
      </c>
      <c r="H64" s="63">
        <f>'Tax Bracket Calcs'!Y$71</f>
        <v>460900</v>
      </c>
      <c r="I64" s="19">
        <v>0.35</v>
      </c>
      <c r="J64" s="119">
        <f>K63</f>
        <v>216000</v>
      </c>
      <c r="K64" s="63">
        <f>'Tax Bracket Calcs'!AF$71</f>
        <v>244000</v>
      </c>
      <c r="L64" s="19">
        <v>0.35</v>
      </c>
      <c r="M64" s="119">
        <f>N63</f>
        <v>12950</v>
      </c>
      <c r="N64" s="117" t="str">
        <f>'Tax Bracket Calcs'!AM$71</f>
        <v>unused</v>
      </c>
      <c r="O64" s="122">
        <v>0.35</v>
      </c>
    </row>
    <row r="65" ht="13.5" customHeight="1" spans="1:15" x14ac:dyDescent="0.25">
      <c r="A65" s="123">
        <f>B64</f>
        <v>488000</v>
      </c>
      <c r="B65" s="124" t="s">
        <v>35</v>
      </c>
      <c r="C65" s="125">
        <v>0.396</v>
      </c>
      <c r="D65" s="123">
        <f>E64</f>
        <v>433750</v>
      </c>
      <c r="E65" s="124" t="s">
        <v>35</v>
      </c>
      <c r="F65" s="125">
        <v>0.396</v>
      </c>
      <c r="G65" s="123">
        <f>H64</f>
        <v>460900</v>
      </c>
      <c r="H65" s="124" t="s">
        <v>35</v>
      </c>
      <c r="I65" s="125">
        <v>0.396</v>
      </c>
      <c r="J65" s="123">
        <f>K64</f>
        <v>244000</v>
      </c>
      <c r="K65" s="124" t="s">
        <v>35</v>
      </c>
      <c r="L65" s="125">
        <v>0.396</v>
      </c>
      <c r="M65" s="126" t="str">
        <f>N64</f>
        <v>unused</v>
      </c>
      <c r="N65" s="124" t="s">
        <v>35</v>
      </c>
      <c r="O65" s="127">
        <v>0.396</v>
      </c>
    </row>
    <row r="66" ht="13.5" customHeight="1" spans="1:16" x14ac:dyDescent="0.25">
      <c r="A66" s="15"/>
      <c r="B66" s="128"/>
      <c r="C66" s="129"/>
      <c r="D66" s="19"/>
      <c r="E66" s="128"/>
      <c r="F66" s="129"/>
      <c r="G66" s="19"/>
      <c r="H66" s="128"/>
      <c r="I66" s="129"/>
      <c r="J66" s="19"/>
      <c r="K66" s="128"/>
      <c r="L66" s="129"/>
      <c r="M66" s="19"/>
      <c r="N66" s="129"/>
      <c r="O66" s="129"/>
      <c r="P66" s="19"/>
    </row>
    <row r="67" ht="24.75" customHeight="1" spans="1:15" x14ac:dyDescent="0.25">
      <c r="A67" s="80" t="s">
        <v>229</v>
      </c>
      <c r="B67" s="130"/>
      <c r="C67" s="130"/>
      <c r="D67" s="130"/>
      <c r="E67" s="130"/>
      <c r="F67" s="131"/>
      <c r="G67" s="130"/>
      <c r="H67" s="130"/>
      <c r="I67" s="130"/>
      <c r="J67" s="130"/>
      <c r="K67" s="130"/>
      <c r="L67" s="130"/>
      <c r="M67" s="130"/>
      <c r="N67" s="130"/>
      <c r="O67" s="132"/>
    </row>
    <row r="68" ht="15" customHeight="1" spans="1:15" x14ac:dyDescent="0.25">
      <c r="A68" s="113" t="s">
        <v>218</v>
      </c>
      <c r="B68" s="114"/>
      <c r="C68" s="114"/>
      <c r="D68" s="113" t="s">
        <v>219</v>
      </c>
      <c r="E68" s="114"/>
      <c r="F68" s="114"/>
      <c r="G68" s="113" t="s">
        <v>220</v>
      </c>
      <c r="H68" s="114"/>
      <c r="I68" s="114"/>
      <c r="J68" s="113" t="s">
        <v>221</v>
      </c>
      <c r="K68" s="114"/>
      <c r="L68" s="114"/>
      <c r="M68" s="113" t="s">
        <v>222</v>
      </c>
      <c r="N68" s="114"/>
      <c r="O68" s="115"/>
    </row>
    <row r="69" ht="15" customHeight="1" spans="1:15" x14ac:dyDescent="0.25">
      <c r="A69" s="113" t="s">
        <v>223</v>
      </c>
      <c r="B69" s="65" t="s">
        <v>224</v>
      </c>
      <c r="C69" s="65" t="s">
        <v>225</v>
      </c>
      <c r="D69" s="113" t="s">
        <v>223</v>
      </c>
      <c r="E69" s="65" t="s">
        <v>224</v>
      </c>
      <c r="F69" s="65" t="s">
        <v>225</v>
      </c>
      <c r="G69" s="113" t="s">
        <v>223</v>
      </c>
      <c r="H69" s="65" t="s">
        <v>224</v>
      </c>
      <c r="I69" s="65" t="s">
        <v>225</v>
      </c>
      <c r="J69" s="113" t="s">
        <v>223</v>
      </c>
      <c r="K69" s="65" t="s">
        <v>224</v>
      </c>
      <c r="L69" s="65" t="s">
        <v>225</v>
      </c>
      <c r="M69" s="113" t="s">
        <v>223</v>
      </c>
      <c r="N69" s="65" t="s">
        <v>224</v>
      </c>
      <c r="O69" s="116" t="s">
        <v>225</v>
      </c>
    </row>
    <row r="70" ht="13.5" customHeight="1" spans="1:15" x14ac:dyDescent="0.25">
      <c r="A70" s="44">
        <v>0</v>
      </c>
      <c r="B70" s="63">
        <f>'Tax Bracket Calcs'!F$72</f>
        <v>19000</v>
      </c>
      <c r="C70" s="19">
        <v>0.1</v>
      </c>
      <c r="D70" s="133">
        <v>0</v>
      </c>
      <c r="E70" s="63">
        <f>'Tax Bracket Calcs'!M$72</f>
        <v>9500</v>
      </c>
      <c r="F70" s="19">
        <v>0.1</v>
      </c>
      <c r="G70" s="133">
        <v>0</v>
      </c>
      <c r="H70" s="63">
        <f>'Tax Bracket Calcs'!T$72</f>
        <v>13550</v>
      </c>
      <c r="I70" s="19">
        <v>0.1</v>
      </c>
      <c r="J70" s="133">
        <v>0</v>
      </c>
      <c r="K70" s="63">
        <f>'Tax Bracket Calcs'!AA$72</f>
        <v>9500</v>
      </c>
      <c r="L70" s="19">
        <v>0.1</v>
      </c>
      <c r="M70" s="133">
        <v>0</v>
      </c>
      <c r="N70" s="63">
        <f>'Tax Bracket Calcs'!AH$72</f>
        <v>0</v>
      </c>
      <c r="O70" s="120">
        <v>0.1</v>
      </c>
    </row>
    <row r="71" ht="12.75" customHeight="1" spans="1:15" x14ac:dyDescent="0.25">
      <c r="A71" s="119">
        <f>B70</f>
        <v>19000</v>
      </c>
      <c r="B71" s="63">
        <f>'Tax Bracket Calcs'!G$72</f>
        <v>77100</v>
      </c>
      <c r="C71" s="19">
        <v>0.15</v>
      </c>
      <c r="D71" s="119">
        <f>E70</f>
        <v>9500</v>
      </c>
      <c r="E71" s="63">
        <f>'Tax Bracket Calcs'!N$72</f>
        <v>38550</v>
      </c>
      <c r="F71" s="19">
        <v>0.15</v>
      </c>
      <c r="G71" s="119">
        <f>H70</f>
        <v>13550</v>
      </c>
      <c r="H71" s="63">
        <f>'Tax Bracket Calcs'!U$72</f>
        <v>51650</v>
      </c>
      <c r="I71" s="19">
        <v>0.15</v>
      </c>
      <c r="J71" s="119">
        <f>K70</f>
        <v>9500</v>
      </c>
      <c r="K71" s="63">
        <f>'Tax Bracket Calcs'!AB$72</f>
        <v>38550</v>
      </c>
      <c r="L71" s="19">
        <v>0.15</v>
      </c>
      <c r="M71" s="44">
        <v>0</v>
      </c>
      <c r="N71" s="63">
        <f>'Tax Bracket Calcs'!AI$72</f>
        <v>2600</v>
      </c>
      <c r="O71" s="120">
        <v>0.15</v>
      </c>
    </row>
    <row r="72" ht="12.75" customHeight="1" spans="1:15" x14ac:dyDescent="0.25">
      <c r="A72" s="119">
        <f>B71</f>
        <v>77100</v>
      </c>
      <c r="B72" s="63">
        <f>'Tax Bracket Calcs'!H$72</f>
        <v>155650</v>
      </c>
      <c r="C72" s="19">
        <v>0.25</v>
      </c>
      <c r="D72" s="119">
        <f>E71</f>
        <v>38550</v>
      </c>
      <c r="E72" s="63">
        <f>'Tax Bracket Calcs'!O$72</f>
        <v>93400</v>
      </c>
      <c r="F72" s="19">
        <v>0.25</v>
      </c>
      <c r="G72" s="119">
        <f>H71</f>
        <v>51650</v>
      </c>
      <c r="H72" s="63">
        <f>'Tax Bracket Calcs'!V$72</f>
        <v>133400</v>
      </c>
      <c r="I72" s="19">
        <v>0.25</v>
      </c>
      <c r="J72" s="119">
        <f>K71</f>
        <v>38550</v>
      </c>
      <c r="K72" s="63">
        <f>'Tax Bracket Calcs'!AC$72</f>
        <v>77825</v>
      </c>
      <c r="L72" s="19">
        <v>0.25</v>
      </c>
      <c r="M72" s="119">
        <f>N71</f>
        <v>2600</v>
      </c>
      <c r="N72" s="63">
        <f>'Tax Bracket Calcs'!AJ$72</f>
        <v>6100</v>
      </c>
      <c r="O72" s="120">
        <v>0.25</v>
      </c>
    </row>
    <row r="73" ht="12.75" customHeight="1" spans="1:15" x14ac:dyDescent="0.25">
      <c r="A73" s="119">
        <f>B72</f>
        <v>155650</v>
      </c>
      <c r="B73" s="63">
        <f>'Tax Bracket Calcs'!I$72</f>
        <v>237200</v>
      </c>
      <c r="C73" s="19">
        <v>0.28</v>
      </c>
      <c r="D73" s="119">
        <f>E72</f>
        <v>93400</v>
      </c>
      <c r="E73" s="63">
        <f>'Tax Bracket Calcs'!P$72</f>
        <v>194800</v>
      </c>
      <c r="F73" s="19">
        <v>0.28</v>
      </c>
      <c r="G73" s="119">
        <f>H72</f>
        <v>133400</v>
      </c>
      <c r="H73" s="63">
        <f>'Tax Bracket Calcs'!W$72</f>
        <v>216000</v>
      </c>
      <c r="I73" s="19">
        <v>0.28</v>
      </c>
      <c r="J73" s="119">
        <f>K72</f>
        <v>77825</v>
      </c>
      <c r="K73" s="63">
        <f>'Tax Bracket Calcs'!AD$72</f>
        <v>118600</v>
      </c>
      <c r="L73" s="19">
        <v>0.28</v>
      </c>
      <c r="M73" s="119">
        <f>N72</f>
        <v>6100</v>
      </c>
      <c r="N73" s="63">
        <f>'Tax Bracket Calcs'!AK$72</f>
        <v>9300</v>
      </c>
      <c r="O73" s="120">
        <v>0.28</v>
      </c>
    </row>
    <row r="74" ht="12.75" customHeight="1" spans="1:15" x14ac:dyDescent="0.25">
      <c r="A74" s="119">
        <f>B73</f>
        <v>237200</v>
      </c>
      <c r="B74" s="63">
        <f>'Tax Bracket Calcs'!J$72</f>
        <v>423550</v>
      </c>
      <c r="C74" s="19">
        <v>0.33</v>
      </c>
      <c r="D74" s="119">
        <f>E73</f>
        <v>194800</v>
      </c>
      <c r="E74" s="63">
        <f>'Tax Bracket Calcs'!Q$72</f>
        <v>423550</v>
      </c>
      <c r="F74" s="19">
        <v>0.33</v>
      </c>
      <c r="G74" s="119">
        <f>H73</f>
        <v>216000</v>
      </c>
      <c r="H74" s="63">
        <f>'Tax Bracket Calcs'!X$72</f>
        <v>423550</v>
      </c>
      <c r="I74" s="19">
        <v>0.33</v>
      </c>
      <c r="J74" s="119">
        <f>K73</f>
        <v>118600</v>
      </c>
      <c r="K74" s="63">
        <f>'Tax Bracket Calcs'!AE$72</f>
        <v>211775</v>
      </c>
      <c r="L74" s="19">
        <v>0.33</v>
      </c>
      <c r="M74" s="119">
        <f>N73</f>
        <v>9300</v>
      </c>
      <c r="N74" s="63">
        <f>'Tax Bracket Calcs'!AL$72</f>
        <v>12700</v>
      </c>
      <c r="O74" s="120">
        <v>0.33</v>
      </c>
    </row>
    <row r="75" ht="13.5" customHeight="1" spans="1:15" x14ac:dyDescent="0.25">
      <c r="A75" s="119">
        <f>B74</f>
        <v>423550</v>
      </c>
      <c r="B75" s="63">
        <f>'Tax Bracket Calcs'!K$72</f>
        <v>478450</v>
      </c>
      <c r="C75" s="19">
        <v>0.35</v>
      </c>
      <c r="D75" s="119">
        <f>E74</f>
        <v>423550</v>
      </c>
      <c r="E75" s="63">
        <f>'Tax Bracket Calcs'!R$72</f>
        <v>425300</v>
      </c>
      <c r="F75" s="19">
        <v>0.35</v>
      </c>
      <c r="G75" s="119">
        <f>H74</f>
        <v>423550</v>
      </c>
      <c r="H75" s="63">
        <f>'Tax Bracket Calcs'!Y$72</f>
        <v>451850</v>
      </c>
      <c r="I75" s="19">
        <v>0.35</v>
      </c>
      <c r="J75" s="119">
        <f>K74</f>
        <v>211775</v>
      </c>
      <c r="K75" s="63">
        <f>'Tax Bracket Calcs'!AF$72</f>
        <v>239225</v>
      </c>
      <c r="L75" s="19">
        <v>0.35</v>
      </c>
      <c r="M75" s="119">
        <f>N74</f>
        <v>12700</v>
      </c>
      <c r="N75" s="117" t="str">
        <f>'Tax Bracket Calcs'!AM$72</f>
        <v>unused</v>
      </c>
      <c r="O75" s="122">
        <v>0.35</v>
      </c>
    </row>
    <row r="76" ht="13.5" customHeight="1" spans="1:15" x14ac:dyDescent="0.25">
      <c r="A76" s="123">
        <f>B75</f>
        <v>478450</v>
      </c>
      <c r="B76" s="124" t="s">
        <v>35</v>
      </c>
      <c r="C76" s="125">
        <v>0.396</v>
      </c>
      <c r="D76" s="123">
        <f>E75</f>
        <v>425300</v>
      </c>
      <c r="E76" s="124" t="s">
        <v>35</v>
      </c>
      <c r="F76" s="125">
        <v>0.396</v>
      </c>
      <c r="G76" s="123">
        <f>H75</f>
        <v>451850</v>
      </c>
      <c r="H76" s="124" t="s">
        <v>35</v>
      </c>
      <c r="I76" s="125">
        <v>0.396</v>
      </c>
      <c r="J76" s="123">
        <f>K75</f>
        <v>239225</v>
      </c>
      <c r="K76" s="124" t="s">
        <v>35</v>
      </c>
      <c r="L76" s="125">
        <v>0.396</v>
      </c>
      <c r="M76" s="126" t="str">
        <f>N75</f>
        <v>unused</v>
      </c>
      <c r="N76" s="124" t="s">
        <v>35</v>
      </c>
      <c r="O76" s="127">
        <v>0.396</v>
      </c>
    </row>
    <row r="77" ht="13.5" customHeight="1" spans="1:16" x14ac:dyDescent="0.25">
      <c r="A77" s="15"/>
      <c r="B77" s="128"/>
      <c r="C77" s="129"/>
      <c r="D77" s="19"/>
      <c r="E77" s="128"/>
      <c r="F77" s="129"/>
      <c r="G77" s="19"/>
      <c r="H77" s="128"/>
      <c r="I77" s="129"/>
      <c r="J77" s="19"/>
      <c r="K77" s="128"/>
      <c r="L77" s="129"/>
      <c r="M77" s="19"/>
      <c r="N77" s="129"/>
      <c r="O77" s="129"/>
      <c r="P77" s="19"/>
    </row>
    <row r="78" ht="24.75" customHeight="1" spans="1:16" x14ac:dyDescent="0.25">
      <c r="A78" s="91" t="s">
        <v>231</v>
      </c>
      <c r="B78" s="128"/>
      <c r="C78" s="129"/>
      <c r="D78" s="19"/>
      <c r="E78" s="128"/>
      <c r="F78" s="129"/>
      <c r="G78" s="19"/>
      <c r="H78" s="128"/>
      <c r="I78" s="129"/>
      <c r="J78" s="19"/>
      <c r="K78" s="128"/>
      <c r="L78" s="129"/>
      <c r="M78" s="19"/>
      <c r="N78" s="129"/>
      <c r="O78" s="129"/>
      <c r="P78" s="19"/>
    </row>
    <row r="79" ht="15" customHeight="1" spans="1:15" x14ac:dyDescent="0.25">
      <c r="A79" s="113" t="s">
        <v>218</v>
      </c>
      <c r="B79" s="114"/>
      <c r="C79" s="114"/>
      <c r="D79" s="113" t="s">
        <v>219</v>
      </c>
      <c r="E79" s="114"/>
      <c r="F79" s="114"/>
      <c r="G79" s="113" t="s">
        <v>220</v>
      </c>
      <c r="H79" s="114"/>
      <c r="I79" s="114"/>
      <c r="J79" s="113" t="s">
        <v>221</v>
      </c>
      <c r="K79" s="114"/>
      <c r="L79" s="114"/>
      <c r="M79" s="113" t="s">
        <v>222</v>
      </c>
      <c r="N79" s="114"/>
      <c r="O79" s="115"/>
    </row>
    <row r="80" ht="15" customHeight="1" spans="1:15" x14ac:dyDescent="0.25">
      <c r="A80" s="113" t="s">
        <v>223</v>
      </c>
      <c r="B80" s="65" t="s">
        <v>224</v>
      </c>
      <c r="C80" s="65" t="s">
        <v>225</v>
      </c>
      <c r="D80" s="113" t="s">
        <v>223</v>
      </c>
      <c r="E80" s="65" t="s">
        <v>224</v>
      </c>
      <c r="F80" s="65" t="s">
        <v>225</v>
      </c>
      <c r="G80" s="113" t="s">
        <v>223</v>
      </c>
      <c r="H80" s="65" t="s">
        <v>224</v>
      </c>
      <c r="I80" s="65" t="s">
        <v>225</v>
      </c>
      <c r="J80" s="113" t="s">
        <v>223</v>
      </c>
      <c r="K80" s="65" t="s">
        <v>224</v>
      </c>
      <c r="L80" s="65" t="s">
        <v>225</v>
      </c>
      <c r="M80" s="113" t="s">
        <v>223</v>
      </c>
      <c r="N80" s="65" t="s">
        <v>224</v>
      </c>
      <c r="O80" s="116" t="s">
        <v>225</v>
      </c>
    </row>
    <row r="81" ht="13.5" customHeight="1" spans="1:15" x14ac:dyDescent="0.25">
      <c r="A81" s="133">
        <v>0</v>
      </c>
      <c r="B81" s="63">
        <f>'Tax Bracket Calcs'!F$73</f>
        <v>18650</v>
      </c>
      <c r="C81" s="19">
        <v>0.1</v>
      </c>
      <c r="D81" s="133">
        <v>0</v>
      </c>
      <c r="E81" s="63">
        <f>'Tax Bracket Calcs'!M$73</f>
        <v>9325</v>
      </c>
      <c r="F81" s="19">
        <v>0.1</v>
      </c>
      <c r="G81" s="133">
        <v>0</v>
      </c>
      <c r="H81" s="63">
        <f>'Tax Bracket Calcs'!T$73</f>
        <v>13350</v>
      </c>
      <c r="I81" s="19">
        <v>0.1</v>
      </c>
      <c r="J81" s="133">
        <v>0</v>
      </c>
      <c r="K81" s="63">
        <f>'Tax Bracket Calcs'!AA$73</f>
        <v>9325</v>
      </c>
      <c r="L81" s="19">
        <v>0.1</v>
      </c>
      <c r="M81" s="133">
        <v>0</v>
      </c>
      <c r="N81" s="63">
        <f>'Tax Bracket Calcs'!AH$73</f>
        <v>0</v>
      </c>
      <c r="O81" s="120">
        <v>0.1</v>
      </c>
    </row>
    <row r="82" ht="12.75" customHeight="1" spans="1:15" x14ac:dyDescent="0.25">
      <c r="A82" s="119">
        <f>B81</f>
        <v>18650</v>
      </c>
      <c r="B82" s="63">
        <f>'Tax Bracket Calcs'!G$73</f>
        <v>75900</v>
      </c>
      <c r="C82" s="19">
        <v>0.15</v>
      </c>
      <c r="D82" s="119">
        <f>E81</f>
        <v>9325</v>
      </c>
      <c r="E82" s="63">
        <f>'Tax Bracket Calcs'!N$73</f>
        <v>37950</v>
      </c>
      <c r="F82" s="19">
        <v>0.15</v>
      </c>
      <c r="G82" s="119">
        <f>H81</f>
        <v>13350</v>
      </c>
      <c r="H82" s="63">
        <f>'Tax Bracket Calcs'!U$73</f>
        <v>50800</v>
      </c>
      <c r="I82" s="19">
        <v>0.15</v>
      </c>
      <c r="J82" s="119">
        <f>K81</f>
        <v>9325</v>
      </c>
      <c r="K82" s="63">
        <f>'Tax Bracket Calcs'!AB$73</f>
        <v>37950</v>
      </c>
      <c r="L82" s="19">
        <v>0.15</v>
      </c>
      <c r="M82" s="44">
        <v>0</v>
      </c>
      <c r="N82" s="63">
        <f>'Tax Bracket Calcs'!AI$73</f>
        <v>2550</v>
      </c>
      <c r="O82" s="120">
        <v>0.15</v>
      </c>
    </row>
    <row r="83" ht="12.75" customHeight="1" spans="1:15" x14ac:dyDescent="0.25">
      <c r="A83" s="119">
        <f>B82</f>
        <v>75900</v>
      </c>
      <c r="B83" s="63">
        <f>'Tax Bracket Calcs'!H$73</f>
        <v>153100</v>
      </c>
      <c r="C83" s="19">
        <v>0.25</v>
      </c>
      <c r="D83" s="119">
        <f>E82</f>
        <v>37950</v>
      </c>
      <c r="E83" s="63">
        <f>'Tax Bracket Calcs'!O$73</f>
        <v>91900</v>
      </c>
      <c r="F83" s="19">
        <v>0.25</v>
      </c>
      <c r="G83" s="119">
        <f>H82</f>
        <v>50800</v>
      </c>
      <c r="H83" s="63">
        <f>'Tax Bracket Calcs'!V$73</f>
        <v>131200</v>
      </c>
      <c r="I83" s="19">
        <v>0.25</v>
      </c>
      <c r="J83" s="119">
        <f>K82</f>
        <v>37950</v>
      </c>
      <c r="K83" s="63">
        <f>'Tax Bracket Calcs'!AC$73</f>
        <v>76550</v>
      </c>
      <c r="L83" s="19">
        <v>0.25</v>
      </c>
      <c r="M83" s="119">
        <f>N82</f>
        <v>2550</v>
      </c>
      <c r="N83" s="63">
        <f>'Tax Bracket Calcs'!AJ$73</f>
        <v>6000</v>
      </c>
      <c r="O83" s="120">
        <v>0.25</v>
      </c>
    </row>
    <row r="84" ht="12.75" customHeight="1" spans="1:15" x14ac:dyDescent="0.25">
      <c r="A84" s="119">
        <f>B83</f>
        <v>153100</v>
      </c>
      <c r="B84" s="63">
        <f>'Tax Bracket Calcs'!I$73</f>
        <v>233350</v>
      </c>
      <c r="C84" s="19">
        <v>0.28</v>
      </c>
      <c r="D84" s="119">
        <f>E83</f>
        <v>91900</v>
      </c>
      <c r="E84" s="63">
        <f>'Tax Bracket Calcs'!P$73</f>
        <v>191650</v>
      </c>
      <c r="F84" s="19">
        <v>0.28</v>
      </c>
      <c r="G84" s="119">
        <f>H83</f>
        <v>131200</v>
      </c>
      <c r="H84" s="63">
        <f>'Tax Bracket Calcs'!W$73</f>
        <v>212500</v>
      </c>
      <c r="I84" s="19">
        <v>0.28</v>
      </c>
      <c r="J84" s="119">
        <f>K83</f>
        <v>76550</v>
      </c>
      <c r="K84" s="63">
        <f>'Tax Bracket Calcs'!AD$73</f>
        <v>116675</v>
      </c>
      <c r="L84" s="19">
        <v>0.28</v>
      </c>
      <c r="M84" s="119">
        <f>N83</f>
        <v>6000</v>
      </c>
      <c r="N84" s="63">
        <f>'Tax Bracket Calcs'!AK$73</f>
        <v>9150</v>
      </c>
      <c r="O84" s="120">
        <v>0.28</v>
      </c>
    </row>
    <row r="85" ht="12.75" customHeight="1" spans="1:15" x14ac:dyDescent="0.25">
      <c r="A85" s="119">
        <f>B84</f>
        <v>233350</v>
      </c>
      <c r="B85" s="63">
        <f>'Tax Bracket Calcs'!J$73</f>
        <v>416700</v>
      </c>
      <c r="C85" s="19">
        <v>0.33</v>
      </c>
      <c r="D85" s="119">
        <f>E84</f>
        <v>191650</v>
      </c>
      <c r="E85" s="63">
        <f>'Tax Bracket Calcs'!Q$73</f>
        <v>416700</v>
      </c>
      <c r="F85" s="19">
        <v>0.33</v>
      </c>
      <c r="G85" s="119">
        <f>H84</f>
        <v>212500</v>
      </c>
      <c r="H85" s="63">
        <f>'Tax Bracket Calcs'!X$73</f>
        <v>416700</v>
      </c>
      <c r="I85" s="19">
        <v>0.33</v>
      </c>
      <c r="J85" s="119">
        <f>K84</f>
        <v>116675</v>
      </c>
      <c r="K85" s="63">
        <f>'Tax Bracket Calcs'!AE$73</f>
        <v>208350</v>
      </c>
      <c r="L85" s="19">
        <v>0.33</v>
      </c>
      <c r="M85" s="119">
        <f>N84</f>
        <v>9150</v>
      </c>
      <c r="N85" s="63">
        <f>'Tax Bracket Calcs'!AL$73</f>
        <v>12500</v>
      </c>
      <c r="O85" s="120">
        <v>0.33</v>
      </c>
    </row>
    <row r="86" ht="13.5" customHeight="1" spans="1:15" x14ac:dyDescent="0.25">
      <c r="A86" s="119">
        <f>B85</f>
        <v>416700</v>
      </c>
      <c r="B86" s="63">
        <f>'Tax Bracket Calcs'!K$73</f>
        <v>470700</v>
      </c>
      <c r="C86" s="19">
        <v>0.35</v>
      </c>
      <c r="D86" s="119">
        <f>E85</f>
        <v>416700</v>
      </c>
      <c r="E86" s="63">
        <f>'Tax Bracket Calcs'!R$73</f>
        <v>418400</v>
      </c>
      <c r="F86" s="19">
        <v>0.35</v>
      </c>
      <c r="G86" s="119">
        <f>H85</f>
        <v>416700</v>
      </c>
      <c r="H86" s="63">
        <f>'Tax Bracket Calcs'!Y$73</f>
        <v>444550</v>
      </c>
      <c r="I86" s="19">
        <v>0.35</v>
      </c>
      <c r="J86" s="119">
        <f>K85</f>
        <v>208350</v>
      </c>
      <c r="K86" s="63">
        <f>'Tax Bracket Calcs'!AF$73</f>
        <v>235350</v>
      </c>
      <c r="L86" s="19">
        <v>0.35</v>
      </c>
      <c r="M86" s="119">
        <f>N85</f>
        <v>12500</v>
      </c>
      <c r="N86" s="117" t="str">
        <f>'Tax Bracket Calcs'!AM$73</f>
        <v>unused</v>
      </c>
      <c r="O86" s="122">
        <v>0.35</v>
      </c>
    </row>
    <row r="87" ht="13.5" customHeight="1" spans="1:15" x14ac:dyDescent="0.25">
      <c r="A87" s="123">
        <f>B86</f>
        <v>470700</v>
      </c>
      <c r="B87" s="124" t="s">
        <v>35</v>
      </c>
      <c r="C87" s="125">
        <v>0.396</v>
      </c>
      <c r="D87" s="123">
        <f>E86</f>
        <v>418400</v>
      </c>
      <c r="E87" s="124" t="s">
        <v>35</v>
      </c>
      <c r="F87" s="125">
        <v>0.396</v>
      </c>
      <c r="G87" s="123">
        <f>H86</f>
        <v>444550</v>
      </c>
      <c r="H87" s="124" t="s">
        <v>35</v>
      </c>
      <c r="I87" s="125">
        <v>0.396</v>
      </c>
      <c r="J87" s="123">
        <f>K86</f>
        <v>235350</v>
      </c>
      <c r="K87" s="124" t="s">
        <v>35</v>
      </c>
      <c r="L87" s="125">
        <v>0.396</v>
      </c>
      <c r="M87" s="126" t="str">
        <f>N86</f>
        <v>unused</v>
      </c>
      <c r="N87" s="124" t="s">
        <v>35</v>
      </c>
      <c r="O87" s="127">
        <v>0.396</v>
      </c>
    </row>
    <row r="88" ht="13.5" customHeight="1" x14ac:dyDescent="0.25"/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9"/>
  <sheetViews>
    <sheetView workbookViewId="0" zoomScale="100" zoomScaleNormal="100" view="normal">
      <pane xSplit="1" topLeftCell="E37" activePane="topRight" state="frozen"/>
      <selection pane="topRight" activeCell="R41" sqref="R41"/>
    </sheetView>
  </sheetViews>
  <sheetFormatPr defaultRowHeight="12.75" outlineLevelRow="0" outlineLevelCol="0" x14ac:dyDescent="0" defaultColWidth="9.1640625" customHeight="1"/>
  <cols>
    <col min="1" max="1" width="10.66" style="16" customWidth="1"/>
    <col min="2" max="5" width="15.66" style="16" customWidth="1"/>
    <col min="6" max="40" width="10.66" style="16" customWidth="1"/>
    <col min="41" max="16384" width="9.16" style="16" customWidth="1"/>
  </cols>
  <sheetData>
    <row r="1" ht="18" customHeight="1" spans="1:3" x14ac:dyDescent="0.25">
      <c r="A1" s="14" t="s">
        <v>232</v>
      </c>
      <c r="B1" s="14"/>
      <c r="C1" s="14"/>
    </row>
    <row r="2" ht="12.75" customHeight="1" spans="1:1" x14ac:dyDescent="0.25">
      <c r="A2" s="16" t="s">
        <v>176</v>
      </c>
    </row>
    <row r="4" ht="12.75" customHeight="1" spans="1:3" x14ac:dyDescent="0.25">
      <c r="A4" s="20" t="s">
        <v>177</v>
      </c>
      <c r="B4" s="20"/>
      <c r="C4" s="20"/>
    </row>
    <row r="5" ht="12.75" customHeight="1" spans="1:3" x14ac:dyDescent="0.25">
      <c r="A5" s="75" t="s">
        <v>178</v>
      </c>
      <c r="B5" s="20" t="s">
        <v>179</v>
      </c>
      <c r="C5" s="75"/>
    </row>
    <row r="6" ht="12.75" customHeight="1" spans="1:3" x14ac:dyDescent="0.25">
      <c r="A6" s="76" t="s">
        <v>180</v>
      </c>
      <c r="B6" s="20" t="s">
        <v>181</v>
      </c>
      <c r="C6" s="76"/>
    </row>
    <row r="7" ht="12.75" customHeight="1" spans="1:4" x14ac:dyDescent="0.25">
      <c r="A7" s="134" t="s">
        <v>233</v>
      </c>
      <c r="B7" s="20" t="s">
        <v>234</v>
      </c>
      <c r="C7" s="76"/>
      <c r="D7" s="20"/>
    </row>
    <row r="8" ht="12.75" customHeight="1" spans="1:4" x14ac:dyDescent="0.25">
      <c r="A8" s="134"/>
      <c r="B8" s="20"/>
      <c r="C8" s="76"/>
      <c r="D8" s="20"/>
    </row>
    <row r="9" ht="24.75" customHeight="1" spans="1:15" x14ac:dyDescent="0.25">
      <c r="A9" s="91" t="s">
        <v>216</v>
      </c>
      <c r="B9" s="91"/>
      <c r="C9" s="91"/>
      <c r="D9" s="135"/>
      <c r="E9" s="135"/>
      <c r="F9" s="135"/>
      <c r="G9" s="135"/>
      <c r="H9" s="90"/>
      <c r="I9" s="90"/>
      <c r="J9" s="89"/>
      <c r="K9" s="89"/>
      <c r="L9" s="89"/>
      <c r="M9" s="89"/>
      <c r="N9" s="89"/>
      <c r="O9" s="89"/>
    </row>
    <row r="10" ht="15.75" customHeight="1" spans="1:39" x14ac:dyDescent="0.25">
      <c r="A10" s="91"/>
      <c r="B10" s="91"/>
      <c r="D10" s="22"/>
      <c r="E10" s="135"/>
      <c r="F10" s="71" t="s">
        <v>27</v>
      </c>
      <c r="G10" s="90"/>
      <c r="H10" s="90"/>
      <c r="I10" s="90"/>
      <c r="K10" s="22"/>
      <c r="L10" s="135"/>
      <c r="M10" s="71" t="s">
        <v>36</v>
      </c>
      <c r="N10" s="90"/>
      <c r="O10" s="90"/>
      <c r="P10" s="90"/>
      <c r="S10" s="135"/>
      <c r="T10" s="71" t="s">
        <v>37</v>
      </c>
      <c r="U10" s="90"/>
      <c r="V10" s="90"/>
      <c r="W10" s="90"/>
      <c r="AA10" s="71" t="s">
        <v>38</v>
      </c>
      <c r="AE10" s="135"/>
      <c r="AF10" s="135"/>
      <c r="AG10" s="90"/>
      <c r="AH10" s="71" t="s">
        <v>39</v>
      </c>
      <c r="AI10" s="90"/>
      <c r="AK10" s="135"/>
      <c r="AL10" s="90"/>
      <c r="AM10" s="90"/>
    </row>
    <row r="11" ht="30" customHeight="1" spans="1:40" x14ac:dyDescent="0.25">
      <c r="A11" s="24" t="s">
        <v>6</v>
      </c>
      <c r="B11" s="40"/>
      <c r="C11" s="24"/>
      <c r="D11" s="24"/>
      <c r="E11" s="24" t="s">
        <v>235</v>
      </c>
      <c r="F11" s="136" t="s">
        <v>236</v>
      </c>
      <c r="G11" s="137" t="s">
        <v>237</v>
      </c>
      <c r="H11" s="137" t="s">
        <v>238</v>
      </c>
      <c r="I11" s="137" t="s">
        <v>239</v>
      </c>
      <c r="J11" s="137" t="s">
        <v>240</v>
      </c>
      <c r="K11" s="137" t="s">
        <v>241</v>
      </c>
      <c r="L11" s="137" t="s">
        <v>242</v>
      </c>
      <c r="M11" s="136" t="s">
        <v>236</v>
      </c>
      <c r="N11" s="137" t="s">
        <v>237</v>
      </c>
      <c r="O11" s="137" t="s">
        <v>238</v>
      </c>
      <c r="P11" s="137" t="s">
        <v>239</v>
      </c>
      <c r="Q11" s="137" t="s">
        <v>240</v>
      </c>
      <c r="R11" s="137" t="s">
        <v>241</v>
      </c>
      <c r="S11" s="137" t="s">
        <v>242</v>
      </c>
      <c r="T11" s="136" t="s">
        <v>236</v>
      </c>
      <c r="U11" s="137" t="s">
        <v>237</v>
      </c>
      <c r="V11" s="137" t="s">
        <v>238</v>
      </c>
      <c r="W11" s="137" t="s">
        <v>239</v>
      </c>
      <c r="X11" s="137" t="s">
        <v>240</v>
      </c>
      <c r="Y11" s="137" t="s">
        <v>241</v>
      </c>
      <c r="Z11" s="137" t="s">
        <v>242</v>
      </c>
      <c r="AA11" s="136" t="s">
        <v>236</v>
      </c>
      <c r="AB11" s="137" t="s">
        <v>237</v>
      </c>
      <c r="AC11" s="137" t="s">
        <v>238</v>
      </c>
      <c r="AD11" s="137" t="s">
        <v>239</v>
      </c>
      <c r="AE11" s="137" t="s">
        <v>240</v>
      </c>
      <c r="AF11" s="137" t="s">
        <v>241</v>
      </c>
      <c r="AG11" s="137" t="s">
        <v>242</v>
      </c>
      <c r="AH11" s="136" t="s">
        <v>236</v>
      </c>
      <c r="AI11" s="137" t="s">
        <v>237</v>
      </c>
      <c r="AJ11" s="137" t="s">
        <v>238</v>
      </c>
      <c r="AK11" s="137" t="s">
        <v>239</v>
      </c>
      <c r="AL11" s="137" t="s">
        <v>240</v>
      </c>
      <c r="AM11" s="137" t="s">
        <v>241</v>
      </c>
      <c r="AN11" s="137" t="s">
        <v>242</v>
      </c>
    </row>
    <row r="12" ht="13.5" customHeight="1" spans="1:40" x14ac:dyDescent="0.25">
      <c r="A12" s="27">
        <f>A13+1</f>
        <v>2022</v>
      </c>
      <c r="B12" s="27"/>
      <c r="C12" s="27"/>
      <c r="D12" s="27"/>
      <c r="E12" s="77">
        <f>'CPI-U &amp; C-CPI-U Calcs'!$F14</f>
        <v>1.07862078402933</v>
      </c>
      <c r="F12" s="41">
        <f>F$16*$E12</f>
        <v>20547.7259357588</v>
      </c>
      <c r="G12" s="42">
        <f>G$16*$E12</f>
        <v>83485.2486838703</v>
      </c>
      <c r="H12" s="42">
        <f>H$16*$E12</f>
        <v>177972.42936484</v>
      </c>
      <c r="I12" s="42">
        <f>I$16*$E12</f>
        <v>339765.546969239</v>
      </c>
      <c r="J12" s="42">
        <f>J$16*$E12</f>
        <v>431448.313611733</v>
      </c>
      <c r="K12" s="42">
        <f>K$16*$E12</f>
        <v>647172.470417599</v>
      </c>
      <c r="L12" s="42" t="s">
        <v>243</v>
      </c>
      <c r="M12" s="41">
        <f>M$16*$E12</f>
        <v>10273.8629678794</v>
      </c>
      <c r="N12" s="42">
        <f>N$16*$E12</f>
        <v>41742.6243419351</v>
      </c>
      <c r="O12" s="42">
        <f>O$16*$E12</f>
        <v>88986.2146824198</v>
      </c>
      <c r="P12" s="42">
        <f>P$16*$E12</f>
        <v>169882.77348462</v>
      </c>
      <c r="Q12" s="42">
        <f>Q$16*$E12</f>
        <v>215724.156805866</v>
      </c>
      <c r="R12" s="42">
        <f>R$16*$E12</f>
        <v>539310.392014666</v>
      </c>
      <c r="S12" s="42" t="s">
        <v>243</v>
      </c>
      <c r="T12" s="41">
        <f>T$16*$E12</f>
        <v>14669.2426627989</v>
      </c>
      <c r="U12" s="42">
        <f>U$16*$E12</f>
        <v>55872.5566127194</v>
      </c>
      <c r="V12" s="42">
        <f>V$16*$E12</f>
        <v>88986.2146824198</v>
      </c>
      <c r="W12" s="42">
        <f>W$16*$E12</f>
        <v>169882.77348462</v>
      </c>
      <c r="X12" s="42">
        <f>X$16*$E12</f>
        <v>215724.156805866</v>
      </c>
      <c r="Y12" s="42">
        <f>Y$16*$E12</f>
        <v>539310.392014666</v>
      </c>
      <c r="Z12" s="42" t="s">
        <v>243</v>
      </c>
      <c r="AA12" s="41">
        <f>AA$16*$E12</f>
        <v>10273.8629678794</v>
      </c>
      <c r="AB12" s="42">
        <f>AB$16*$E12</f>
        <v>41742.6243419351</v>
      </c>
      <c r="AC12" s="42">
        <f>AC$16*$E12</f>
        <v>88986.2146824198</v>
      </c>
      <c r="AD12" s="42">
        <f>AD$16*$E12</f>
        <v>169882.77348462</v>
      </c>
      <c r="AE12" s="42">
        <f>AE$16*$E12</f>
        <v>215724.156805866</v>
      </c>
      <c r="AF12" s="42">
        <f>AF$16*$E12</f>
        <v>323586.235208799</v>
      </c>
      <c r="AG12" s="42" t="s">
        <v>243</v>
      </c>
      <c r="AH12" s="41">
        <f>AH$16*$E12</f>
        <v>2750.4829992748</v>
      </c>
      <c r="AI12" s="42" t="s">
        <v>244</v>
      </c>
      <c r="AJ12" s="42" t="s">
        <v>244</v>
      </c>
      <c r="AK12" s="42">
        <f>AK$16*$E12</f>
        <v>9869.38017386838</v>
      </c>
      <c r="AL12" s="42" t="s">
        <v>244</v>
      </c>
      <c r="AM12" s="42">
        <f>AM$16*$E12</f>
        <v>13482.7598003666</v>
      </c>
      <c r="AN12" s="42" t="s">
        <v>243</v>
      </c>
    </row>
    <row r="13" ht="12.75" customHeight="1" spans="1:40" x14ac:dyDescent="0.25">
      <c r="A13" s="18">
        <f>A14+1</f>
        <v>2021</v>
      </c>
      <c r="B13" s="18"/>
      <c r="C13" s="18"/>
      <c r="D13" s="18"/>
      <c r="E13" s="79">
        <f>'CPI-U &amp; C-CPI-U Calcs'!$F15</f>
        <v>1.04720464468867</v>
      </c>
      <c r="F13" s="44">
        <f>F$16*$E13</f>
        <v>19949.2484813192</v>
      </c>
      <c r="G13" s="45">
        <f>G$16*$E13</f>
        <v>81053.6394989031</v>
      </c>
      <c r="H13" s="45">
        <f>H$16*$E13</f>
        <v>172788.766373631</v>
      </c>
      <c r="I13" s="45">
        <f>I$16*$E13</f>
        <v>329869.463076931</v>
      </c>
      <c r="J13" s="45">
        <f>J$16*$E13</f>
        <v>418881.857875468</v>
      </c>
      <c r="K13" s="45">
        <f>K$16*$E13</f>
        <v>628322.786813203</v>
      </c>
      <c r="L13" s="45" t="s">
        <v>243</v>
      </c>
      <c r="M13" s="44">
        <f>M$16*$E13</f>
        <v>9974.62424065959</v>
      </c>
      <c r="N13" s="45">
        <f>N$16*$E13</f>
        <v>40526.8197494516</v>
      </c>
      <c r="O13" s="45">
        <f>O$16*$E13</f>
        <v>86394.3831868154</v>
      </c>
      <c r="P13" s="45">
        <f>P$16*$E13</f>
        <v>164934.731538466</v>
      </c>
      <c r="Q13" s="45">
        <f>Q$16*$E13</f>
        <v>209440.928937734</v>
      </c>
      <c r="R13" s="45">
        <f>R$16*$E13</f>
        <v>523602.322344336</v>
      </c>
      <c r="S13" s="45" t="s">
        <v>243</v>
      </c>
      <c r="T13" s="44">
        <f>T$16*$E13</f>
        <v>14241.9831677659</v>
      </c>
      <c r="U13" s="45">
        <f>U$16*$E13</f>
        <v>54245.2005948732</v>
      </c>
      <c r="V13" s="45">
        <f>V$16*$E13</f>
        <v>86394.3831868154</v>
      </c>
      <c r="W13" s="45">
        <f>W$16*$E13</f>
        <v>164934.731538466</v>
      </c>
      <c r="X13" s="45">
        <f>X$16*$E13</f>
        <v>209440.928937734</v>
      </c>
      <c r="Y13" s="45">
        <f>Y$16*$E13</f>
        <v>523602.322344336</v>
      </c>
      <c r="Z13" s="45" t="s">
        <v>243</v>
      </c>
      <c r="AA13" s="44">
        <f>AA$16*$E13</f>
        <v>9974.62424065959</v>
      </c>
      <c r="AB13" s="45">
        <f>AB$16*$E13</f>
        <v>40526.8197494516</v>
      </c>
      <c r="AC13" s="45">
        <f>AC$16*$E13</f>
        <v>86394.3831868154</v>
      </c>
      <c r="AD13" s="45">
        <f>AD$16*$E13</f>
        <v>164934.731538466</v>
      </c>
      <c r="AE13" s="45">
        <f>AE$16*$E13</f>
        <v>209440.928937734</v>
      </c>
      <c r="AF13" s="45">
        <f>AF$16*$E13</f>
        <v>314161.393406601</v>
      </c>
      <c r="AG13" s="45" t="s">
        <v>243</v>
      </c>
      <c r="AH13" s="44">
        <f>AH$16*$E13</f>
        <v>2670.37184395611</v>
      </c>
      <c r="AI13" s="45" t="s">
        <v>244</v>
      </c>
      <c r="AJ13" s="45" t="s">
        <v>244</v>
      </c>
      <c r="AK13" s="45">
        <f>AK$16*$E13</f>
        <v>9581.92249890134</v>
      </c>
      <c r="AL13" s="45" t="s">
        <v>244</v>
      </c>
      <c r="AM13" s="45">
        <f>AM$16*$E13</f>
        <v>13090.0580586084</v>
      </c>
      <c r="AN13" s="45" t="s">
        <v>243</v>
      </c>
    </row>
    <row r="14" ht="12.75" customHeight="1" spans="1:40" x14ac:dyDescent="0.25">
      <c r="A14" s="18">
        <f>A15+1</f>
        <v>2020</v>
      </c>
      <c r="B14" s="18"/>
      <c r="C14" s="18"/>
      <c r="D14" s="18"/>
      <c r="E14" s="79">
        <f>'CPI-U &amp; C-CPI-U Calcs'!$F16</f>
        <v>1.03574965894863</v>
      </c>
      <c r="F14" s="44">
        <f>F$16*$E14</f>
        <v>19731.0310029713</v>
      </c>
      <c r="G14" s="45">
        <f>G$16*$E14</f>
        <v>80167.0236026238</v>
      </c>
      <c r="H14" s="45">
        <f>H$16*$E14</f>
        <v>170898.693726524</v>
      </c>
      <c r="I14" s="45">
        <f>I$16*$E14</f>
        <v>326261.142568818</v>
      </c>
      <c r="J14" s="45">
        <f>J$16*$E14</f>
        <v>414299.863579451</v>
      </c>
      <c r="K14" s="45">
        <f>K$16*$E14</f>
        <v>621449.795369176</v>
      </c>
      <c r="L14" s="45" t="s">
        <v>243</v>
      </c>
      <c r="M14" s="44">
        <f>M$16*$E14</f>
        <v>9865.51550148567</v>
      </c>
      <c r="N14" s="45">
        <f>N$16*$E14</f>
        <v>40083.5118013119</v>
      </c>
      <c r="O14" s="45">
        <f>O$16*$E14</f>
        <v>85449.3468632617</v>
      </c>
      <c r="P14" s="45">
        <f>P$16*$E14</f>
        <v>163130.571284409</v>
      </c>
      <c r="Q14" s="45">
        <f>Q$16*$E14</f>
        <v>207149.931789725</v>
      </c>
      <c r="R14" s="45">
        <f>R$16*$E14</f>
        <v>517874.829474314</v>
      </c>
      <c r="S14" s="45" t="s">
        <v>243</v>
      </c>
      <c r="T14" s="44">
        <f>T$16*$E14</f>
        <v>14086.1953617013</v>
      </c>
      <c r="U14" s="45">
        <f>U$16*$E14</f>
        <v>53651.8323335389</v>
      </c>
      <c r="V14" s="45">
        <f>V$16*$E14</f>
        <v>85449.3468632617</v>
      </c>
      <c r="W14" s="45">
        <f>W$16*$E14</f>
        <v>163130.571284409</v>
      </c>
      <c r="X14" s="45">
        <f>X$16*$E14</f>
        <v>207149.931789725</v>
      </c>
      <c r="Y14" s="45">
        <f>Y$16*$E14</f>
        <v>517874.829474314</v>
      </c>
      <c r="Z14" s="45" t="s">
        <v>243</v>
      </c>
      <c r="AA14" s="44">
        <f>AA$16*$E14</f>
        <v>9865.51550148567</v>
      </c>
      <c r="AB14" s="45">
        <f>AB$16*$E14</f>
        <v>40083.5118013119</v>
      </c>
      <c r="AC14" s="45">
        <f>AC$16*$E14</f>
        <v>85449.3468632617</v>
      </c>
      <c r="AD14" s="45">
        <f>AD$16*$E14</f>
        <v>163130.571284409</v>
      </c>
      <c r="AE14" s="45">
        <f>AE$16*$E14</f>
        <v>207149.931789725</v>
      </c>
      <c r="AF14" s="45">
        <f>AF$16*$E14</f>
        <v>310724.897684588</v>
      </c>
      <c r="AG14" s="45" t="s">
        <v>243</v>
      </c>
      <c r="AH14" s="44">
        <f>AH$16*$E14</f>
        <v>2641.161630319</v>
      </c>
      <c r="AI14" s="45" t="s">
        <v>244</v>
      </c>
      <c r="AJ14" s="45" t="s">
        <v>244</v>
      </c>
      <c r="AK14" s="45">
        <f>AK$16*$E14</f>
        <v>9477.10937937994</v>
      </c>
      <c r="AL14" s="45" t="s">
        <v>244</v>
      </c>
      <c r="AM14" s="45">
        <f>AM$16*$E14</f>
        <v>12946.8707368578</v>
      </c>
      <c r="AN14" s="45" t="s">
        <v>243</v>
      </c>
    </row>
    <row r="15" ht="12.75" customHeight="1" spans="1:40" x14ac:dyDescent="0.25">
      <c r="A15" s="18">
        <f>A16+1</f>
        <v>2019</v>
      </c>
      <c r="B15" s="18"/>
      <c r="C15" s="18"/>
      <c r="D15" s="18"/>
      <c r="E15" s="79">
        <f>'CPI-U &amp; C-CPI-U Calcs'!$F17</f>
        <v>1.01993078299849</v>
      </c>
      <c r="F15" s="44">
        <f>F$16*$E15</f>
        <v>19429.6814161213</v>
      </c>
      <c r="G15" s="45">
        <f>G$16*$E15</f>
        <v>78942.6426040832</v>
      </c>
      <c r="H15" s="45">
        <f>H$16*$E15</f>
        <v>168288.579194751</v>
      </c>
      <c r="I15" s="45">
        <f>I$16*$E15</f>
        <v>321278.196644525</v>
      </c>
      <c r="J15" s="45">
        <f>J$16*$E15</f>
        <v>407972.313199397</v>
      </c>
      <c r="K15" s="45">
        <f>K$16*$E15</f>
        <v>611958.469799095</v>
      </c>
      <c r="L15" s="45" t="s">
        <v>243</v>
      </c>
      <c r="M15" s="44">
        <f>M$16*$E15</f>
        <v>9714.84070806063</v>
      </c>
      <c r="N15" s="45">
        <f>N$16*$E15</f>
        <v>39471.3213020416</v>
      </c>
      <c r="O15" s="45">
        <f>O$16*$E15</f>
        <v>84144.2895973755</v>
      </c>
      <c r="P15" s="45">
        <f>P$16*$E15</f>
        <v>160639.098322262</v>
      </c>
      <c r="Q15" s="45">
        <f>Q$16*$E15</f>
        <v>203986.156599698</v>
      </c>
      <c r="R15" s="45">
        <f>R$16*$E15</f>
        <v>509965.391499246</v>
      </c>
      <c r="S15" s="45" t="s">
        <v>243</v>
      </c>
      <c r="T15" s="44">
        <f>T$16*$E15</f>
        <v>13871.0586487795</v>
      </c>
      <c r="U15" s="45">
        <f>U$16*$E15</f>
        <v>52832.4145593218</v>
      </c>
      <c r="V15" s="45">
        <f>V$16*$E15</f>
        <v>84144.2895973755</v>
      </c>
      <c r="W15" s="45">
        <f>W$16*$E15</f>
        <v>160639.098322262</v>
      </c>
      <c r="X15" s="45">
        <f>X$16*$E15</f>
        <v>203986.156599698</v>
      </c>
      <c r="Y15" s="45">
        <f>Y$16*$E15</f>
        <v>509965.391499246</v>
      </c>
      <c r="Z15" s="45" t="s">
        <v>243</v>
      </c>
      <c r="AA15" s="44">
        <f>AA$16*$E15</f>
        <v>9714.84070806063</v>
      </c>
      <c r="AB15" s="45">
        <f>AB$16*$E15</f>
        <v>39471.3213020416</v>
      </c>
      <c r="AC15" s="45">
        <f>AC$16*$E15</f>
        <v>84144.2895973755</v>
      </c>
      <c r="AD15" s="45">
        <f>AD$16*$E15</f>
        <v>160639.098322262</v>
      </c>
      <c r="AE15" s="45">
        <f>AE$16*$E15</f>
        <v>203986.156599698</v>
      </c>
      <c r="AF15" s="45">
        <f>AF$16*$E15</f>
        <v>305979.234899547</v>
      </c>
      <c r="AG15" s="45" t="s">
        <v>243</v>
      </c>
      <c r="AH15" s="44">
        <f>AH$16*$E15</f>
        <v>2600.82349664615</v>
      </c>
      <c r="AI15" s="45" t="s">
        <v>244</v>
      </c>
      <c r="AJ15" s="45" t="s">
        <v>244</v>
      </c>
      <c r="AK15" s="45">
        <f>AK$16*$E15</f>
        <v>9332.3666644362</v>
      </c>
      <c r="AL15" s="45" t="s">
        <v>244</v>
      </c>
      <c r="AM15" s="45">
        <f>AM$16*$E15</f>
        <v>12749.1347874811</v>
      </c>
      <c r="AN15" s="45" t="s">
        <v>243</v>
      </c>
    </row>
    <row r="16" ht="12.75" customHeight="1" spans="1:40" x14ac:dyDescent="0.25">
      <c r="A16" s="18">
        <v>2018</v>
      </c>
      <c r="B16" s="18"/>
      <c r="C16" s="18"/>
      <c r="D16" s="18"/>
      <c r="E16" s="86">
        <f>'CPI-U &amp; C-CPI-U Calcs'!$F18</f>
        <v>1</v>
      </c>
      <c r="F16" s="87">
        <v>19050</v>
      </c>
      <c r="G16" s="88">
        <v>77400</v>
      </c>
      <c r="H16" s="88">
        <v>165000</v>
      </c>
      <c r="I16" s="88">
        <v>315000</v>
      </c>
      <c r="J16" s="88">
        <v>400000</v>
      </c>
      <c r="K16" s="88">
        <v>600000</v>
      </c>
      <c r="L16" s="88" t="s">
        <v>243</v>
      </c>
      <c r="M16" s="87">
        <v>9525</v>
      </c>
      <c r="N16" s="88">
        <v>38700</v>
      </c>
      <c r="O16" s="88">
        <v>82500</v>
      </c>
      <c r="P16" s="88">
        <v>157500</v>
      </c>
      <c r="Q16" s="88">
        <v>200000</v>
      </c>
      <c r="R16" s="88">
        <v>500000</v>
      </c>
      <c r="S16" s="88" t="s">
        <v>243</v>
      </c>
      <c r="T16" s="87">
        <v>13600</v>
      </c>
      <c r="U16" s="88">
        <v>51800</v>
      </c>
      <c r="V16" s="88">
        <v>82500</v>
      </c>
      <c r="W16" s="88">
        <v>157500</v>
      </c>
      <c r="X16" s="88">
        <v>200000</v>
      </c>
      <c r="Y16" s="88">
        <v>500000</v>
      </c>
      <c r="Z16" s="88" t="s">
        <v>243</v>
      </c>
      <c r="AA16" s="87">
        <v>9525</v>
      </c>
      <c r="AB16" s="88">
        <v>38700</v>
      </c>
      <c r="AC16" s="88">
        <v>82500</v>
      </c>
      <c r="AD16" s="88">
        <v>157500</v>
      </c>
      <c r="AE16" s="88">
        <v>200000</v>
      </c>
      <c r="AF16" s="88">
        <v>300000</v>
      </c>
      <c r="AG16" s="88" t="s">
        <v>243</v>
      </c>
      <c r="AH16" s="87">
        <v>2550</v>
      </c>
      <c r="AI16" s="88" t="s">
        <v>244</v>
      </c>
      <c r="AJ16" s="88" t="s">
        <v>244</v>
      </c>
      <c r="AK16" s="88">
        <v>9150</v>
      </c>
      <c r="AL16" s="88" t="s">
        <v>244</v>
      </c>
      <c r="AM16" s="88">
        <v>12500</v>
      </c>
      <c r="AN16" s="88" t="s">
        <v>243</v>
      </c>
    </row>
    <row r="17" ht="12.75" customHeight="1" spans="1:39" x14ac:dyDescent="0.25">
      <c r="A17" s="18"/>
      <c r="B17" s="18"/>
      <c r="C17" s="18"/>
      <c r="D17" s="18"/>
      <c r="E17" s="18"/>
      <c r="F17" s="45"/>
      <c r="G17" s="88"/>
      <c r="H17" s="88"/>
      <c r="I17" s="90"/>
      <c r="J17" s="89"/>
      <c r="K17" s="89"/>
      <c r="L17" s="89"/>
      <c r="M17" s="88"/>
      <c r="N17" s="88"/>
      <c r="O17" s="88"/>
      <c r="P17" s="90"/>
      <c r="Q17" s="89"/>
      <c r="R17" s="89"/>
      <c r="S17" s="89"/>
      <c r="T17" s="89"/>
      <c r="U17" s="88"/>
      <c r="V17" s="88"/>
      <c r="W17" s="90"/>
      <c r="X17" s="89"/>
      <c r="Y17" s="89"/>
      <c r="Z17" s="89"/>
      <c r="AA17" s="16" t="s">
        <v>245</v>
      </c>
      <c r="AB17" s="88"/>
      <c r="AC17" s="88"/>
      <c r="AD17" s="90"/>
      <c r="AE17" s="89"/>
      <c r="AF17" s="89"/>
      <c r="AG17" s="89"/>
      <c r="AH17" s="89"/>
      <c r="AI17" s="88"/>
      <c r="AJ17" s="88"/>
      <c r="AK17" s="90"/>
      <c r="AL17" s="89"/>
      <c r="AM17" s="89"/>
    </row>
    <row r="18" ht="24.75" customHeight="1" spans="1:15" x14ac:dyDescent="0.25">
      <c r="A18" s="91" t="s">
        <v>246</v>
      </c>
      <c r="B18" s="91"/>
      <c r="C18" s="91"/>
      <c r="D18" s="91"/>
      <c r="E18" s="91"/>
      <c r="F18" s="135"/>
      <c r="G18" s="135"/>
      <c r="H18" s="90"/>
      <c r="I18" s="90"/>
      <c r="J18" s="89"/>
      <c r="K18" s="89"/>
      <c r="L18" s="89"/>
      <c r="M18" s="89"/>
      <c r="N18" s="89"/>
      <c r="O18" s="89"/>
    </row>
    <row r="19" ht="15.75" customHeight="1" spans="1:39" x14ac:dyDescent="0.25">
      <c r="A19" s="91"/>
      <c r="B19" s="91"/>
      <c r="C19" s="91"/>
      <c r="D19" s="91"/>
      <c r="E19" s="91"/>
      <c r="F19" s="71" t="s">
        <v>27</v>
      </c>
      <c r="G19" s="22"/>
      <c r="H19" s="135"/>
      <c r="I19" s="135"/>
      <c r="J19" s="90"/>
      <c r="K19" s="90"/>
      <c r="L19" s="90"/>
      <c r="M19" s="71" t="s">
        <v>36</v>
      </c>
      <c r="N19" s="22"/>
      <c r="O19" s="135"/>
      <c r="P19" s="135"/>
      <c r="Q19" s="90"/>
      <c r="R19" s="90"/>
      <c r="S19" s="90"/>
      <c r="T19" s="71" t="s">
        <v>37</v>
      </c>
      <c r="V19" s="135"/>
      <c r="W19" s="135"/>
      <c r="X19" s="90"/>
      <c r="Y19" s="90"/>
      <c r="Z19" s="90"/>
      <c r="AA19" s="71" t="s">
        <v>38</v>
      </c>
      <c r="AC19" s="135"/>
      <c r="AD19" s="135"/>
      <c r="AE19" s="90"/>
      <c r="AF19" s="90"/>
      <c r="AG19" s="90"/>
      <c r="AH19" s="71" t="s">
        <v>39</v>
      </c>
      <c r="AJ19" s="135"/>
      <c r="AK19" s="135"/>
      <c r="AL19" s="90"/>
      <c r="AM19" s="90"/>
    </row>
    <row r="20" ht="30" customHeight="1" spans="1:40" x14ac:dyDescent="0.25">
      <c r="A20" s="24" t="s">
        <v>6</v>
      </c>
      <c r="B20" s="24"/>
      <c r="C20" s="24"/>
      <c r="D20" s="24"/>
      <c r="E20" s="24"/>
      <c r="F20" s="136" t="s">
        <v>236</v>
      </c>
      <c r="G20" s="137" t="s">
        <v>237</v>
      </c>
      <c r="H20" s="137" t="s">
        <v>238</v>
      </c>
      <c r="I20" s="137" t="s">
        <v>239</v>
      </c>
      <c r="J20" s="137" t="s">
        <v>240</v>
      </c>
      <c r="K20" s="137" t="s">
        <v>241</v>
      </c>
      <c r="L20" s="137" t="s">
        <v>242</v>
      </c>
      <c r="M20" s="136" t="s">
        <v>236</v>
      </c>
      <c r="N20" s="137" t="s">
        <v>237</v>
      </c>
      <c r="O20" s="137" t="s">
        <v>238</v>
      </c>
      <c r="P20" s="137" t="s">
        <v>239</v>
      </c>
      <c r="Q20" s="137" t="s">
        <v>240</v>
      </c>
      <c r="R20" s="137" t="s">
        <v>241</v>
      </c>
      <c r="S20" s="137" t="s">
        <v>242</v>
      </c>
      <c r="T20" s="136" t="s">
        <v>236</v>
      </c>
      <c r="U20" s="137" t="s">
        <v>237</v>
      </c>
      <c r="V20" s="137" t="s">
        <v>238</v>
      </c>
      <c r="W20" s="137" t="s">
        <v>239</v>
      </c>
      <c r="X20" s="137" t="s">
        <v>240</v>
      </c>
      <c r="Y20" s="137" t="s">
        <v>241</v>
      </c>
      <c r="Z20" s="137" t="s">
        <v>242</v>
      </c>
      <c r="AA20" s="136" t="s">
        <v>236</v>
      </c>
      <c r="AB20" s="137" t="s">
        <v>237</v>
      </c>
      <c r="AC20" s="137" t="s">
        <v>238</v>
      </c>
      <c r="AD20" s="137" t="s">
        <v>239</v>
      </c>
      <c r="AE20" s="137" t="s">
        <v>240</v>
      </c>
      <c r="AF20" s="137" t="s">
        <v>241</v>
      </c>
      <c r="AG20" s="137" t="s">
        <v>242</v>
      </c>
      <c r="AH20" s="136" t="s">
        <v>236</v>
      </c>
      <c r="AI20" s="137" t="s">
        <v>237</v>
      </c>
      <c r="AJ20" s="137" t="s">
        <v>238</v>
      </c>
      <c r="AK20" s="137" t="s">
        <v>239</v>
      </c>
      <c r="AL20" s="137" t="s">
        <v>240</v>
      </c>
      <c r="AM20" s="137" t="s">
        <v>241</v>
      </c>
      <c r="AN20" s="137" t="s">
        <v>242</v>
      </c>
    </row>
    <row r="21" ht="13.5" customHeight="1" spans="1:40" x14ac:dyDescent="0.25">
      <c r="A21" s="27">
        <f>A22+1</f>
        <v>2022</v>
      </c>
      <c r="B21" s="27"/>
      <c r="C21" s="27"/>
      <c r="D21" s="27"/>
      <c r="E21" s="27"/>
      <c r="F21" s="41">
        <f>TRUNC(F12/50)*50</f>
        <v>20500</v>
      </c>
      <c r="G21" s="42">
        <f>TRUNC(G12/50)*50</f>
        <v>83450</v>
      </c>
      <c r="H21" s="42">
        <f>TRUNC(H12/50)*50</f>
        <v>177950</v>
      </c>
      <c r="I21" s="42">
        <f>TRUNC(I12/50)*50</f>
        <v>339750</v>
      </c>
      <c r="J21" s="42">
        <f>TRUNC(J12/50)*50</f>
        <v>431400</v>
      </c>
      <c r="K21" s="42">
        <f>TRUNC(K12/50)*50</f>
        <v>647150</v>
      </c>
      <c r="L21" s="42" t="s">
        <v>243</v>
      </c>
      <c r="M21" s="41">
        <f>TRUNC(M12/25)*25</f>
        <v>10250</v>
      </c>
      <c r="N21" s="42">
        <f>TRUNC(N12/25)*25</f>
        <v>41725</v>
      </c>
      <c r="O21" s="42">
        <f>TRUNC(O12/25)*25</f>
        <v>88975</v>
      </c>
      <c r="P21" s="42">
        <f>TRUNC(P12/25)*25</f>
        <v>169875</v>
      </c>
      <c r="Q21" s="42">
        <f>TRUNC(Q12/25)*25</f>
        <v>215700</v>
      </c>
      <c r="R21" s="42">
        <f>TRUNC(R12/25)*25</f>
        <v>539300</v>
      </c>
      <c r="S21" s="42" t="s">
        <v>243</v>
      </c>
      <c r="T21" s="41">
        <f>TRUNC(T12/50)*50</f>
        <v>14650</v>
      </c>
      <c r="U21" s="42">
        <f>TRUNC(U12/50)*50</f>
        <v>55850</v>
      </c>
      <c r="V21" s="42">
        <f>TRUNC(V12/50)*50</f>
        <v>88950</v>
      </c>
      <c r="W21" s="42">
        <f>TRUNC(W12/50)*50</f>
        <v>169850</v>
      </c>
      <c r="X21" s="42">
        <f>TRUNC(X12/50)*50</f>
        <v>215700</v>
      </c>
      <c r="Y21" s="42">
        <f>TRUNC(Y12/50)*50</f>
        <v>539300</v>
      </c>
      <c r="Z21" s="42" t="s">
        <v>243</v>
      </c>
      <c r="AA21" s="41">
        <f>TRUNC(AA12/25)*25</f>
        <v>10250</v>
      </c>
      <c r="AB21" s="42">
        <f>TRUNC(AB12/50)*50</f>
        <v>41700</v>
      </c>
      <c r="AC21" s="42">
        <f>TRUNC(AC12/25)*25</f>
        <v>88975</v>
      </c>
      <c r="AD21" s="42">
        <f>TRUNC(AD12/25)*25</f>
        <v>169875</v>
      </c>
      <c r="AE21" s="42">
        <f>TRUNC(AE12/25)*25</f>
        <v>215700</v>
      </c>
      <c r="AF21" s="42">
        <f>TRUNC(AF12/25)*25</f>
        <v>323575</v>
      </c>
      <c r="AG21" s="42" t="s">
        <v>243</v>
      </c>
      <c r="AH21" s="41">
        <f>TRUNC(AH12/50)*50</f>
        <v>2750</v>
      </c>
      <c r="AI21" s="42" t="str">
        <f>AI12</f>
        <v>unused</v>
      </c>
      <c r="AJ21" s="42" t="str">
        <f>AJ12</f>
        <v>unused</v>
      </c>
      <c r="AK21" s="42">
        <f>TRUNC(AK12/50)*50</f>
        <v>9850</v>
      </c>
      <c r="AL21" s="42" t="str">
        <f>AL12</f>
        <v>unused</v>
      </c>
      <c r="AM21" s="42">
        <f>TRUNC(AM12/50)*50</f>
        <v>13450</v>
      </c>
      <c r="AN21" s="42" t="str">
        <f>AN12</f>
        <v>excess</v>
      </c>
    </row>
    <row r="22" ht="12.75" customHeight="1" spans="1:40" x14ac:dyDescent="0.25">
      <c r="A22" s="18">
        <f>A23+1</f>
        <v>2021</v>
      </c>
      <c r="B22" s="18"/>
      <c r="C22" s="18"/>
      <c r="D22" s="18"/>
      <c r="E22" s="18"/>
      <c r="F22" s="44">
        <f>TRUNC(F13/50)*50</f>
        <v>19900</v>
      </c>
      <c r="G22" s="45">
        <f>TRUNC(G13/50)*50</f>
        <v>81050</v>
      </c>
      <c r="H22" s="45">
        <f>TRUNC(H13/50)*50</f>
        <v>172750</v>
      </c>
      <c r="I22" s="45">
        <f>TRUNC(I13/50)*50</f>
        <v>329850</v>
      </c>
      <c r="J22" s="45">
        <f>TRUNC(J13/50)*50</f>
        <v>418850</v>
      </c>
      <c r="K22" s="45">
        <f>TRUNC(K13/50)*50</f>
        <v>628300</v>
      </c>
      <c r="L22" s="45" t="s">
        <v>243</v>
      </c>
      <c r="M22" s="44">
        <f>TRUNC(M13/25)*25</f>
        <v>9950</v>
      </c>
      <c r="N22" s="45">
        <f>TRUNC(N13/25)*25</f>
        <v>40525</v>
      </c>
      <c r="O22" s="45">
        <f>TRUNC(O13/25)*25</f>
        <v>86375</v>
      </c>
      <c r="P22" s="45">
        <f>TRUNC(P13/25)*25</f>
        <v>164925</v>
      </c>
      <c r="Q22" s="45">
        <f>TRUNC(Q13/25)*25</f>
        <v>209425</v>
      </c>
      <c r="R22" s="45">
        <f>TRUNC(R13/25)*25</f>
        <v>523600</v>
      </c>
      <c r="S22" s="45" t="s">
        <v>243</v>
      </c>
      <c r="T22" s="44">
        <f>TRUNC(T13/50)*50</f>
        <v>14200</v>
      </c>
      <c r="U22" s="45">
        <f>TRUNC(U13/50)*50</f>
        <v>54200</v>
      </c>
      <c r="V22" s="45">
        <f>TRUNC(V13/50)*50</f>
        <v>86350</v>
      </c>
      <c r="W22" s="45">
        <f>TRUNC(W13/50)*50</f>
        <v>164900</v>
      </c>
      <c r="X22" s="45">
        <f>TRUNC(X13/50)*50</f>
        <v>209400</v>
      </c>
      <c r="Y22" s="45">
        <f>TRUNC(Y13/50)*50</f>
        <v>523600</v>
      </c>
      <c r="Z22" s="45" t="s">
        <v>243</v>
      </c>
      <c r="AA22" s="44">
        <f>TRUNC(AA13/25)*25</f>
        <v>9950</v>
      </c>
      <c r="AB22" s="45">
        <f>TRUNC(AB13/25)*25</f>
        <v>40525</v>
      </c>
      <c r="AC22" s="45">
        <f>TRUNC(AC13/25)*25</f>
        <v>86375</v>
      </c>
      <c r="AD22" s="45">
        <f>TRUNC(AD13/25)*25</f>
        <v>164925</v>
      </c>
      <c r="AE22" s="45">
        <f>TRUNC(AE13/25)*25</f>
        <v>209425</v>
      </c>
      <c r="AF22" s="45">
        <f>TRUNC(AF13/25)*25</f>
        <v>314150</v>
      </c>
      <c r="AG22" s="45" t="s">
        <v>243</v>
      </c>
      <c r="AH22" s="44">
        <f>TRUNC(AH13/50)*50</f>
        <v>2650</v>
      </c>
      <c r="AI22" s="45" t="str">
        <f>AI13</f>
        <v>unused</v>
      </c>
      <c r="AJ22" s="45" t="str">
        <f>AJ13</f>
        <v>unused</v>
      </c>
      <c r="AK22" s="45">
        <f>TRUNC(AK13/50)*50</f>
        <v>9550</v>
      </c>
      <c r="AL22" s="45" t="str">
        <f>AL13</f>
        <v>unused</v>
      </c>
      <c r="AM22" s="45">
        <f>TRUNC(AM13/50)*50</f>
        <v>13050</v>
      </c>
      <c r="AN22" s="45" t="str">
        <f>AN13</f>
        <v>excess</v>
      </c>
    </row>
    <row r="23" ht="12.75" customHeight="1" spans="1:40" x14ac:dyDescent="0.25">
      <c r="A23" s="18">
        <f>A24+1</f>
        <v>2020</v>
      </c>
      <c r="B23" s="18"/>
      <c r="C23" s="18"/>
      <c r="D23" s="18"/>
      <c r="E23" s="18"/>
      <c r="F23" s="44">
        <f>TRUNC(F14/50)*50</f>
        <v>19700</v>
      </c>
      <c r="G23" s="45">
        <f>TRUNC(G14/50)*50</f>
        <v>80150</v>
      </c>
      <c r="H23" s="45">
        <f>TRUNC(H14/50)*50</f>
        <v>170850</v>
      </c>
      <c r="I23" s="45">
        <f>TRUNC(I14/50)*50</f>
        <v>326250</v>
      </c>
      <c r="J23" s="45">
        <f>TRUNC(J14/50)*50</f>
        <v>414250</v>
      </c>
      <c r="K23" s="45">
        <f>TRUNC(K14/50)*50</f>
        <v>621400</v>
      </c>
      <c r="L23" s="45" t="s">
        <v>243</v>
      </c>
      <c r="M23" s="44">
        <f>TRUNC(M14/25)*25</f>
        <v>9850</v>
      </c>
      <c r="N23" s="45">
        <f>TRUNC(N14/25)*25</f>
        <v>40075</v>
      </c>
      <c r="O23" s="45">
        <f>TRUNC(O14/25)*25</f>
        <v>85425</v>
      </c>
      <c r="P23" s="45">
        <f>TRUNC(P14/25)*25</f>
        <v>163125</v>
      </c>
      <c r="Q23" s="45">
        <f>TRUNC(Q14/25)*25</f>
        <v>207125</v>
      </c>
      <c r="R23" s="45">
        <f>TRUNC(R14/25)*25</f>
        <v>517850</v>
      </c>
      <c r="S23" s="45" t="s">
        <v>243</v>
      </c>
      <c r="T23" s="44">
        <f>TRUNC(T14/50)*50</f>
        <v>14050</v>
      </c>
      <c r="U23" s="45">
        <f>TRUNC(U14/50)*50</f>
        <v>53650</v>
      </c>
      <c r="V23" s="45">
        <f>TRUNC(V14/50)*50</f>
        <v>85400</v>
      </c>
      <c r="W23" s="45">
        <f>TRUNC(W14/50)*50</f>
        <v>163100</v>
      </c>
      <c r="X23" s="45">
        <f>TRUNC(X14/50)*50</f>
        <v>207100</v>
      </c>
      <c r="Y23" s="45">
        <f>TRUNC(Y14/50)*50</f>
        <v>517850</v>
      </c>
      <c r="Z23" s="45" t="s">
        <v>243</v>
      </c>
      <c r="AA23" s="44">
        <f>TRUNC(AA14/25)*25</f>
        <v>9850</v>
      </c>
      <c r="AB23" s="45">
        <f>TRUNC(AB14/25)*25</f>
        <v>40075</v>
      </c>
      <c r="AC23" s="45">
        <f>TRUNC(AC14/25)*25</f>
        <v>85425</v>
      </c>
      <c r="AD23" s="45">
        <f>TRUNC(AD14/25)*25</f>
        <v>163125</v>
      </c>
      <c r="AE23" s="45">
        <f>TRUNC(AE14/25)*25</f>
        <v>207125</v>
      </c>
      <c r="AF23" s="45">
        <f>TRUNC(AF14/25)*25</f>
        <v>310700</v>
      </c>
      <c r="AG23" s="45" t="s">
        <v>243</v>
      </c>
      <c r="AH23" s="44">
        <f>TRUNC(AH14/50)*50</f>
        <v>2600</v>
      </c>
      <c r="AI23" s="45" t="str">
        <f>AI14</f>
        <v>unused</v>
      </c>
      <c r="AJ23" s="45" t="str">
        <f>AJ14</f>
        <v>unused</v>
      </c>
      <c r="AK23" s="45">
        <f>TRUNC(AK14/50)*50</f>
        <v>9450</v>
      </c>
      <c r="AL23" s="45" t="str">
        <f>AL14</f>
        <v>unused</v>
      </c>
      <c r="AM23" s="45">
        <f>TRUNC(AM14/50)*50</f>
        <v>12900</v>
      </c>
      <c r="AN23" s="45" t="str">
        <f>AN14</f>
        <v>excess</v>
      </c>
    </row>
    <row r="24" ht="12.75" customHeight="1" spans="1:40" x14ac:dyDescent="0.25">
      <c r="A24" s="18">
        <f>A25+1</f>
        <v>2019</v>
      </c>
      <c r="B24" s="18"/>
      <c r="C24" s="18"/>
      <c r="D24" s="18"/>
      <c r="E24" s="18"/>
      <c r="F24" s="44">
        <f>TRUNC(F15/50)*50</f>
        <v>19400</v>
      </c>
      <c r="G24" s="45">
        <f>TRUNC(G15/50)*50</f>
        <v>78900</v>
      </c>
      <c r="H24" s="45">
        <f>TRUNC(H15/50)*50</f>
        <v>168250</v>
      </c>
      <c r="I24" s="45">
        <f>TRUNC(I15/50)*50</f>
        <v>321250</v>
      </c>
      <c r="J24" s="45">
        <f>TRUNC(J15/50)*50</f>
        <v>407950</v>
      </c>
      <c r="K24" s="45">
        <f>TRUNC(K15/50)*50</f>
        <v>611950</v>
      </c>
      <c r="L24" s="45" t="s">
        <v>243</v>
      </c>
      <c r="M24" s="44">
        <f>TRUNC(M15/25)*25</f>
        <v>9700</v>
      </c>
      <c r="N24" s="45">
        <f>TRUNC(N15/25)*25</f>
        <v>39450</v>
      </c>
      <c r="O24" s="45">
        <f>TRUNC(O15/25)*25</f>
        <v>84125</v>
      </c>
      <c r="P24" s="45">
        <f>TRUNC(P15/25)*25</f>
        <v>160625</v>
      </c>
      <c r="Q24" s="45">
        <f>TRUNC(Q15/25)*25</f>
        <v>203975</v>
      </c>
      <c r="R24" s="45">
        <f>TRUNC(R15/25)*25</f>
        <v>509950</v>
      </c>
      <c r="S24" s="45" t="s">
        <v>243</v>
      </c>
      <c r="T24" s="44">
        <f>TRUNC(T15/50)*50</f>
        <v>13850</v>
      </c>
      <c r="U24" s="45">
        <f>TRUNC(U15/50)*50</f>
        <v>52800</v>
      </c>
      <c r="V24" s="45">
        <f>TRUNC(V15/50)*50</f>
        <v>84100</v>
      </c>
      <c r="W24" s="45">
        <f>TRUNC(W15/50)*50</f>
        <v>160600</v>
      </c>
      <c r="X24" s="45">
        <f>TRUNC(X15/50)*50</f>
        <v>203950</v>
      </c>
      <c r="Y24" s="45">
        <f>TRUNC(Y15/50)*50</f>
        <v>509950</v>
      </c>
      <c r="Z24" s="45" t="s">
        <v>243</v>
      </c>
      <c r="AA24" s="44">
        <f>TRUNC(AA15/25)*25</f>
        <v>9700</v>
      </c>
      <c r="AB24" s="45">
        <f>TRUNC(AB15/25)*25</f>
        <v>39450</v>
      </c>
      <c r="AC24" s="45">
        <f>TRUNC(AC15/25)*25</f>
        <v>84125</v>
      </c>
      <c r="AD24" s="45">
        <f>TRUNC(AD15/25)*25</f>
        <v>160625</v>
      </c>
      <c r="AE24" s="45">
        <f>TRUNC(AE15/25)*25</f>
        <v>203975</v>
      </c>
      <c r="AF24" s="45">
        <f>TRUNC(AF15/25)*25</f>
        <v>305975</v>
      </c>
      <c r="AG24" s="45" t="s">
        <v>243</v>
      </c>
      <c r="AH24" s="44">
        <f>TRUNC(AH15/50)*50</f>
        <v>2600</v>
      </c>
      <c r="AI24" s="45" t="str">
        <f>AI15</f>
        <v>unused</v>
      </c>
      <c r="AJ24" s="45" t="str">
        <f>AJ15</f>
        <v>unused</v>
      </c>
      <c r="AK24" s="45">
        <f>TRUNC(AK15/50)*50</f>
        <v>9300</v>
      </c>
      <c r="AL24" s="45" t="str">
        <f>AL15</f>
        <v>unused</v>
      </c>
      <c r="AM24" s="45">
        <f>TRUNC(AM15/50)*50</f>
        <v>12700</v>
      </c>
      <c r="AN24" s="45" t="str">
        <f>AN15</f>
        <v>excess</v>
      </c>
    </row>
    <row r="25" ht="12.75" customHeight="1" spans="1:40" x14ac:dyDescent="0.25">
      <c r="A25" s="18">
        <v>2018</v>
      </c>
      <c r="B25" s="18"/>
      <c r="C25" s="18"/>
      <c r="D25" s="18"/>
      <c r="E25" s="18"/>
      <c r="F25" s="87">
        <f>TRUNC(F16/50)*50</f>
        <v>19050</v>
      </c>
      <c r="G25" s="88">
        <f>TRUNC(G16/50)*50</f>
        <v>77400</v>
      </c>
      <c r="H25" s="88">
        <f>TRUNC(H16/50)*50</f>
        <v>165000</v>
      </c>
      <c r="I25" s="88">
        <f>TRUNC(I16/50)*50</f>
        <v>315000</v>
      </c>
      <c r="J25" s="88">
        <f>TRUNC(J16/50)*50</f>
        <v>400000</v>
      </c>
      <c r="K25" s="88">
        <f>TRUNC(K16/50)*50</f>
        <v>600000</v>
      </c>
      <c r="L25" s="88" t="s">
        <v>243</v>
      </c>
      <c r="M25" s="87">
        <f>TRUNC(M16/25)*25</f>
        <v>9525</v>
      </c>
      <c r="N25" s="88">
        <f>TRUNC(N16/25)*25</f>
        <v>38700</v>
      </c>
      <c r="O25" s="88">
        <f>TRUNC(O16/25)*25</f>
        <v>82500</v>
      </c>
      <c r="P25" s="88">
        <f>TRUNC(P16/25)*25</f>
        <v>157500</v>
      </c>
      <c r="Q25" s="88">
        <f>TRUNC(Q16/25)*25</f>
        <v>200000</v>
      </c>
      <c r="R25" s="88">
        <f>TRUNC(R16/25)*25</f>
        <v>500000</v>
      </c>
      <c r="S25" s="88" t="s">
        <v>243</v>
      </c>
      <c r="T25" s="87">
        <f>TRUNC(T16/50)*50</f>
        <v>13600</v>
      </c>
      <c r="U25" s="88">
        <f>TRUNC(U16/50)*50</f>
        <v>51800</v>
      </c>
      <c r="V25" s="88">
        <f>TRUNC(V16/50)*50</f>
        <v>82500</v>
      </c>
      <c r="W25" s="88">
        <f>TRUNC(W16/50)*50</f>
        <v>157500</v>
      </c>
      <c r="X25" s="88">
        <f>TRUNC(X16/50)*50</f>
        <v>200000</v>
      </c>
      <c r="Y25" s="88">
        <f>TRUNC(Y16/50)*50</f>
        <v>500000</v>
      </c>
      <c r="Z25" s="88" t="s">
        <v>243</v>
      </c>
      <c r="AA25" s="87">
        <f>TRUNC(AA16/25)*25</f>
        <v>9525</v>
      </c>
      <c r="AB25" s="88">
        <f>TRUNC(AB16/25)*25</f>
        <v>38700</v>
      </c>
      <c r="AC25" s="88">
        <f>TRUNC(AC16/25)*25</f>
        <v>82500</v>
      </c>
      <c r="AD25" s="88">
        <f>TRUNC(AD16/25)*25</f>
        <v>157500</v>
      </c>
      <c r="AE25" s="88">
        <f>TRUNC(AE16/25)*25</f>
        <v>200000</v>
      </c>
      <c r="AF25" s="88">
        <f>TRUNC(AF16/25)*25</f>
        <v>300000</v>
      </c>
      <c r="AG25" s="88" t="s">
        <v>243</v>
      </c>
      <c r="AH25" s="87">
        <f>TRUNC(AH16/50)*50</f>
        <v>2550</v>
      </c>
      <c r="AI25" s="88" t="str">
        <f>AI16</f>
        <v>unused</v>
      </c>
      <c r="AJ25" s="88" t="str">
        <f>AJ16</f>
        <v>unused</v>
      </c>
      <c r="AK25" s="88">
        <f>TRUNC(AK16/50)*50</f>
        <v>9150</v>
      </c>
      <c r="AL25" s="88" t="str">
        <f>AL16</f>
        <v>unused</v>
      </c>
      <c r="AM25" s="88">
        <f>AM16</f>
        <v>12500</v>
      </c>
      <c r="AN25" s="88" t="str">
        <f>AN16</f>
        <v>excess</v>
      </c>
    </row>
    <row r="26" ht="12.75" customHeight="1" spans="1:4" x14ac:dyDescent="0.25">
      <c r="A26" s="76"/>
      <c r="B26" s="76"/>
      <c r="C26" s="76"/>
      <c r="D26" s="20"/>
    </row>
    <row r="27" ht="12.75" customHeight="1" spans="1:4" x14ac:dyDescent="0.25">
      <c r="A27" s="76"/>
      <c r="B27" s="76"/>
      <c r="C27" s="76"/>
      <c r="D27" s="20"/>
    </row>
    <row r="29" ht="24.75" customHeight="1" spans="1:15" x14ac:dyDescent="0.25">
      <c r="A29" s="91" t="s">
        <v>230</v>
      </c>
      <c r="B29" s="91"/>
      <c r="C29" s="91"/>
      <c r="D29" s="135"/>
      <c r="E29" s="135"/>
      <c r="F29" s="135"/>
      <c r="G29" s="135"/>
      <c r="H29" s="90"/>
      <c r="I29" s="90"/>
      <c r="J29" s="89"/>
      <c r="K29" s="89"/>
      <c r="L29" s="89"/>
      <c r="M29" s="89"/>
      <c r="N29" s="89"/>
      <c r="O29" s="89"/>
    </row>
    <row r="30" ht="15.75" customHeight="1" spans="1:39" x14ac:dyDescent="0.25">
      <c r="A30" s="91"/>
      <c r="B30" s="91"/>
      <c r="C30" s="91"/>
      <c r="F30" s="71" t="s">
        <v>27</v>
      </c>
      <c r="G30" s="22"/>
      <c r="H30" s="135"/>
      <c r="I30" s="135"/>
      <c r="J30" s="90"/>
      <c r="K30" s="90"/>
      <c r="L30" s="90"/>
      <c r="M30" s="71" t="s">
        <v>36</v>
      </c>
      <c r="N30" s="22"/>
      <c r="O30" s="135"/>
      <c r="P30" s="135"/>
      <c r="Q30" s="90"/>
      <c r="R30" s="90"/>
      <c r="S30" s="90"/>
      <c r="T30" s="71" t="s">
        <v>37</v>
      </c>
      <c r="V30" s="135"/>
      <c r="W30" s="135"/>
      <c r="X30" s="90"/>
      <c r="Y30" s="90"/>
      <c r="Z30" s="90"/>
      <c r="AA30" s="71" t="s">
        <v>38</v>
      </c>
      <c r="AC30" s="135"/>
      <c r="AD30" s="135"/>
      <c r="AE30" s="90"/>
      <c r="AF30" s="90"/>
      <c r="AG30" s="90"/>
      <c r="AH30" s="71" t="s">
        <v>39</v>
      </c>
      <c r="AJ30" s="135"/>
      <c r="AK30" s="135"/>
      <c r="AL30" s="90"/>
      <c r="AM30" s="90"/>
    </row>
    <row r="31" ht="30" customHeight="1" spans="1:40" x14ac:dyDescent="0.25">
      <c r="A31" s="24" t="s">
        <v>6</v>
      </c>
      <c r="B31" s="40" t="s">
        <v>247</v>
      </c>
      <c r="C31" s="24" t="s">
        <v>248</v>
      </c>
      <c r="D31" s="24" t="s">
        <v>249</v>
      </c>
      <c r="E31" s="24" t="s">
        <v>250</v>
      </c>
      <c r="F31" s="136" t="s">
        <v>236</v>
      </c>
      <c r="G31" s="137" t="s">
        <v>251</v>
      </c>
      <c r="H31" s="137" t="s">
        <v>252</v>
      </c>
      <c r="I31" s="137" t="s">
        <v>253</v>
      </c>
      <c r="J31" s="137" t="s">
        <v>254</v>
      </c>
      <c r="K31" s="137" t="s">
        <v>241</v>
      </c>
      <c r="L31" s="137" t="s">
        <v>255</v>
      </c>
      <c r="M31" s="136" t="s">
        <v>236</v>
      </c>
      <c r="N31" s="137" t="s">
        <v>251</v>
      </c>
      <c r="O31" s="137" t="s">
        <v>252</v>
      </c>
      <c r="P31" s="137" t="s">
        <v>253</v>
      </c>
      <c r="Q31" s="137" t="s">
        <v>254</v>
      </c>
      <c r="R31" s="137" t="s">
        <v>241</v>
      </c>
      <c r="S31" s="137" t="s">
        <v>255</v>
      </c>
      <c r="T31" s="136" t="s">
        <v>236</v>
      </c>
      <c r="U31" s="137" t="s">
        <v>251</v>
      </c>
      <c r="V31" s="137" t="s">
        <v>252</v>
      </c>
      <c r="W31" s="137" t="s">
        <v>253</v>
      </c>
      <c r="X31" s="137" t="s">
        <v>254</v>
      </c>
      <c r="Y31" s="137" t="s">
        <v>241</v>
      </c>
      <c r="Z31" s="137" t="s">
        <v>255</v>
      </c>
      <c r="AA31" s="136" t="s">
        <v>236</v>
      </c>
      <c r="AB31" s="137" t="s">
        <v>251</v>
      </c>
      <c r="AC31" s="137" t="s">
        <v>252</v>
      </c>
      <c r="AD31" s="137" t="s">
        <v>253</v>
      </c>
      <c r="AE31" s="137" t="s">
        <v>254</v>
      </c>
      <c r="AF31" s="137" t="s">
        <v>241</v>
      </c>
      <c r="AG31" s="137" t="s">
        <v>255</v>
      </c>
      <c r="AH31" s="136" t="s">
        <v>236</v>
      </c>
      <c r="AI31" s="137" t="s">
        <v>251</v>
      </c>
      <c r="AJ31" s="137" t="s">
        <v>252</v>
      </c>
      <c r="AK31" s="137" t="s">
        <v>253</v>
      </c>
      <c r="AL31" s="137" t="s">
        <v>254</v>
      </c>
      <c r="AM31" s="137" t="s">
        <v>241</v>
      </c>
      <c r="AN31" s="137" t="s">
        <v>255</v>
      </c>
    </row>
    <row r="32" ht="13.5" customHeight="1" spans="1:40" x14ac:dyDescent="0.25">
      <c r="A32" s="27">
        <f>A33+1</f>
        <v>2022</v>
      </c>
      <c r="B32" s="138">
        <f>'CPI-U &amp; C-CPI-U Calcs'!$H14</f>
        <v>1.14687477598894</v>
      </c>
      <c r="C32" s="77">
        <f>'CPI-U &amp; C-CPI-U Calcs'!$L14</f>
        <v>1.46443996715595</v>
      </c>
      <c r="D32" s="77">
        <f>'CPI-U &amp; C-CPI-U Calcs'!$P14</f>
        <v>1.88345374217448</v>
      </c>
      <c r="E32" s="77">
        <f>'CPI-U &amp; C-CPI-U Calcs'!$O14</f>
        <v>1.82754538942965</v>
      </c>
      <c r="F32" s="41">
        <f>F$51*$C32</f>
        <v>20502.1595401834</v>
      </c>
      <c r="G32" s="42">
        <f>G$61*$D32</f>
        <v>83248.6554041121</v>
      </c>
      <c r="H32" s="42">
        <f>H$61*$D32</f>
        <v>167909.901114855</v>
      </c>
      <c r="I32" s="42">
        <f>I$60*$E32</f>
        <v>255856.354520151</v>
      </c>
      <c r="J32" s="42">
        <f>J$60*$E32</f>
        <v>456886.347357412</v>
      </c>
      <c r="K32" s="42">
        <f>K$41*$B32</f>
        <v>516093.649195022</v>
      </c>
      <c r="L32" s="42" t="s">
        <v>243</v>
      </c>
      <c r="M32" s="41">
        <f>M$51*$C32</f>
        <v>10251.0797700917</v>
      </c>
      <c r="N32" s="42">
        <f>N$61*$D32</f>
        <v>41624.3277020561</v>
      </c>
      <c r="O32" s="42">
        <f>O$61*$D32</f>
        <v>100764.775206335</v>
      </c>
      <c r="P32" s="42">
        <f>P$60*$E32</f>
        <v>210167.71978441</v>
      </c>
      <c r="Q32" s="42">
        <f>Q$60*$E32</f>
        <v>456886.347357412</v>
      </c>
      <c r="R32" s="42">
        <f>R$41*$B32</f>
        <v>458749.910395575</v>
      </c>
      <c r="S32" s="42" t="s">
        <v>243</v>
      </c>
      <c r="T32" s="41">
        <f>T$51*$C32</f>
        <v>14644.3996715595</v>
      </c>
      <c r="U32" s="42">
        <f>U$61*$D32</f>
        <v>55750.2307683647</v>
      </c>
      <c r="V32" s="42">
        <f>V$61*$D32</f>
        <v>143895.86590213</v>
      </c>
      <c r="W32" s="42">
        <f>W$60*$E32</f>
        <v>233012.03715228</v>
      </c>
      <c r="X32" s="42">
        <f>X$60*$E32</f>
        <v>456886.347357412</v>
      </c>
      <c r="Y32" s="42">
        <f>Y$41*$B32</f>
        <v>487421.779795298</v>
      </c>
      <c r="Z32" s="42" t="s">
        <v>243</v>
      </c>
      <c r="AA32" s="41">
        <f>AA$51*$C32</f>
        <v>10251.0797700917</v>
      </c>
      <c r="AB32" s="42">
        <f>AB$61*$D32</f>
        <v>41624.3277020561</v>
      </c>
      <c r="AC32" s="42">
        <f>AC$61*$D32</f>
        <v>83954.9505574276</v>
      </c>
      <c r="AD32" s="42">
        <f>AD$60*$E32</f>
        <v>127928.177260075</v>
      </c>
      <c r="AE32" s="42">
        <f>AE$60*$E32</f>
        <v>228443.173678706</v>
      </c>
      <c r="AF32" s="42">
        <f>AF$41*$B32</f>
        <v>258046.824597511</v>
      </c>
      <c r="AG32" s="42" t="s">
        <v>243</v>
      </c>
      <c r="AH32" s="41">
        <v>0</v>
      </c>
      <c r="AI32" s="42">
        <f>AI$61*$D32</f>
        <v>2825.18061326172</v>
      </c>
      <c r="AJ32" s="42">
        <f>AJ$61*$D32</f>
        <v>6592.08809761069</v>
      </c>
      <c r="AK32" s="42">
        <f>AK$60*$E32</f>
        <v>10051.4996418631</v>
      </c>
      <c r="AL32" s="42">
        <f>AL$60*$E32</f>
        <v>13706.5904207224</v>
      </c>
      <c r="AM32" s="42" t="str">
        <f>AM33</f>
        <v>unused</v>
      </c>
      <c r="AN32" s="42" t="s">
        <v>243</v>
      </c>
    </row>
    <row r="33" ht="12.75" customHeight="1" spans="1:40" s="73" customFormat="1" x14ac:dyDescent="0.25">
      <c r="A33" s="47">
        <f>A34+1</f>
        <v>2021</v>
      </c>
      <c r="B33" s="139">
        <f>'CPI-U &amp; C-CPI-U Calcs'!$H15</f>
        <v>1.11347065629994</v>
      </c>
      <c r="C33" s="78">
        <f>'CPI-U &amp; C-CPI-U Calcs'!$L15</f>
        <v>1.42178637587957</v>
      </c>
      <c r="D33" s="78">
        <f>'CPI-U &amp; C-CPI-U Calcs'!$P15</f>
        <v>1.82859586618882</v>
      </c>
      <c r="E33" s="78">
        <f>'CPI-U &amp; C-CPI-U Calcs'!$O15</f>
        <v>1.77431591206762</v>
      </c>
      <c r="F33" s="48">
        <f>F$51*$C33</f>
        <v>19905.0092623139</v>
      </c>
      <c r="G33" s="49">
        <f>G$61*$D33</f>
        <v>80823.9372855458</v>
      </c>
      <c r="H33" s="49">
        <f>H$61*$D33</f>
        <v>163019.321470733</v>
      </c>
      <c r="I33" s="49">
        <f>I$60*$E33</f>
        <v>248404.227689467</v>
      </c>
      <c r="J33" s="49">
        <f>J$60*$E33</f>
        <v>443578.978016905</v>
      </c>
      <c r="K33" s="49">
        <f>K$41*$B33</f>
        <v>501061.795334973</v>
      </c>
      <c r="L33" s="49" t="s">
        <v>243</v>
      </c>
      <c r="M33" s="48">
        <f>M$51*$C33</f>
        <v>9952.50463115697</v>
      </c>
      <c r="N33" s="49">
        <f>N$61*$D33</f>
        <v>40411.9686427729</v>
      </c>
      <c r="O33" s="49">
        <f>O$61*$D33</f>
        <v>97829.8788411018</v>
      </c>
      <c r="P33" s="49">
        <f>P$60*$E33</f>
        <v>204046.329887776</v>
      </c>
      <c r="Q33" s="49">
        <f>Q$60*$E33</f>
        <v>443578.978016905</v>
      </c>
      <c r="R33" s="49">
        <f>R$41*$B33</f>
        <v>445388.262519976</v>
      </c>
      <c r="S33" s="49" t="s">
        <v>243</v>
      </c>
      <c r="T33" s="48">
        <f>T$51*$C33</f>
        <v>14217.8637587957</v>
      </c>
      <c r="U33" s="49">
        <f>U$61*$D33</f>
        <v>54126.437639189</v>
      </c>
      <c r="V33" s="49">
        <f>V$61*$D33</f>
        <v>139704.724176826</v>
      </c>
      <c r="W33" s="49">
        <f>W$60*$E33</f>
        <v>226225.278788622</v>
      </c>
      <c r="X33" s="49">
        <f>X$60*$E33</f>
        <v>443578.978016905</v>
      </c>
      <c r="Y33" s="49">
        <f>Y$41*$B33</f>
        <v>473225.028927474</v>
      </c>
      <c r="Z33" s="49" t="s">
        <v>243</v>
      </c>
      <c r="AA33" s="48">
        <f>AA$51*$C33</f>
        <v>9952.50463115697</v>
      </c>
      <c r="AB33" s="49">
        <f>AB$61*$D33</f>
        <v>40411.9686427729</v>
      </c>
      <c r="AC33" s="49">
        <f>AC$61*$D33</f>
        <v>81509.6607353666</v>
      </c>
      <c r="AD33" s="49">
        <f>AD$60*$E33</f>
        <v>124202.113844733</v>
      </c>
      <c r="AE33" s="49">
        <f>AE$60*$E33</f>
        <v>221789.489008453</v>
      </c>
      <c r="AF33" s="49">
        <f>AF$41*$B33</f>
        <v>250530.897667486</v>
      </c>
      <c r="AG33" s="49" t="s">
        <v>243</v>
      </c>
      <c r="AH33" s="48">
        <v>0</v>
      </c>
      <c r="AI33" s="49">
        <f>AI$61*$D33</f>
        <v>2742.89379928323</v>
      </c>
      <c r="AJ33" s="49">
        <f>AJ$61*$D33</f>
        <v>6400.08553166086</v>
      </c>
      <c r="AK33" s="49">
        <f>AK$60*$E33</f>
        <v>9758.73751637192</v>
      </c>
      <c r="AL33" s="49">
        <f>AL$60*$E33</f>
        <v>13307.3693405072</v>
      </c>
      <c r="AM33" s="49" t="str">
        <f>AM34</f>
        <v>unused</v>
      </c>
      <c r="AN33" s="49" t="s">
        <v>243</v>
      </c>
    </row>
    <row r="34" ht="12.75" customHeight="1" spans="1:40" s="73" customFormat="1" x14ac:dyDescent="0.25">
      <c r="A34" s="47">
        <f>A35+1</f>
        <v>2020</v>
      </c>
      <c r="B34" s="139">
        <f>'CPI-U &amp; C-CPI-U Calcs'!$H16</f>
        <v>1.10129081107622</v>
      </c>
      <c r="C34" s="78">
        <f>'CPI-U &amp; C-CPI-U Calcs'!$L16</f>
        <v>1.40623397860584</v>
      </c>
      <c r="D34" s="78">
        <f>'CPI-U &amp; C-CPI-U Calcs'!$P16</f>
        <v>1.80859352979952</v>
      </c>
      <c r="E34" s="78">
        <f>'CPI-U &amp; C-CPI-U Calcs'!$O16</f>
        <v>1.75490732409568</v>
      </c>
      <c r="F34" s="48">
        <f>F$51*$C34</f>
        <v>19687.2757004818</v>
      </c>
      <c r="G34" s="49">
        <f>G$61*$D34</f>
        <v>79939.8340171389</v>
      </c>
      <c r="H34" s="49">
        <f>H$61*$D34</f>
        <v>161236.113181627</v>
      </c>
      <c r="I34" s="49">
        <f>I$60*$E34</f>
        <v>245687.025373395</v>
      </c>
      <c r="J34" s="49">
        <f>J$60*$E34</f>
        <v>438726.831023919</v>
      </c>
      <c r="K34" s="49">
        <f>K$41*$B34</f>
        <v>495580.864984297</v>
      </c>
      <c r="L34" s="49" t="s">
        <v>243</v>
      </c>
      <c r="M34" s="48">
        <f>M$51*$C34</f>
        <v>9843.63785024089</v>
      </c>
      <c r="N34" s="49">
        <f>N$61*$D34</f>
        <v>39969.9170085694</v>
      </c>
      <c r="O34" s="49">
        <f>O$61*$D34</f>
        <v>96759.7538442744</v>
      </c>
      <c r="P34" s="49">
        <f>P$60*$E34</f>
        <v>201814.342271003</v>
      </c>
      <c r="Q34" s="49">
        <f>Q$60*$E34</f>
        <v>438726.831023919</v>
      </c>
      <c r="R34" s="49">
        <f>R$41*$B34</f>
        <v>440516.324430486</v>
      </c>
      <c r="S34" s="49" t="s">
        <v>243</v>
      </c>
      <c r="T34" s="48">
        <f>T$51*$C34</f>
        <v>14062.3397860584</v>
      </c>
      <c r="U34" s="49">
        <f>U$61*$D34</f>
        <v>53534.3684820658</v>
      </c>
      <c r="V34" s="49">
        <f>V$61*$D34</f>
        <v>138176.545676683</v>
      </c>
      <c r="W34" s="49">
        <f>W$60*$E34</f>
        <v>223750.683822199</v>
      </c>
      <c r="X34" s="49">
        <f>X$60*$E34</f>
        <v>438726.831023919</v>
      </c>
      <c r="Y34" s="49">
        <f>Y$41*$B34</f>
        <v>468048.594707391</v>
      </c>
      <c r="Z34" s="49" t="s">
        <v>243</v>
      </c>
      <c r="AA34" s="48">
        <f>AA$51*$C34</f>
        <v>9843.63785024089</v>
      </c>
      <c r="AB34" s="49">
        <f>AB$61*$D34</f>
        <v>39969.9170085694</v>
      </c>
      <c r="AC34" s="49">
        <f>AC$61*$D34</f>
        <v>80618.0565908137</v>
      </c>
      <c r="AD34" s="49">
        <f>AD$60*$E34</f>
        <v>122843.512686697</v>
      </c>
      <c r="AE34" s="49">
        <f>AE$60*$E34</f>
        <v>219363.41551196</v>
      </c>
      <c r="AF34" s="49">
        <f>AF$41*$B34</f>
        <v>247790.432492148</v>
      </c>
      <c r="AG34" s="49" t="s">
        <v>243</v>
      </c>
      <c r="AH34" s="48">
        <v>0</v>
      </c>
      <c r="AI34" s="49">
        <f>AI$61*$D34</f>
        <v>2712.89029469928</v>
      </c>
      <c r="AJ34" s="49">
        <f>AJ$61*$D34</f>
        <v>6330.07735429833</v>
      </c>
      <c r="AK34" s="49">
        <f>AK$60*$E34</f>
        <v>9651.99028252623</v>
      </c>
      <c r="AL34" s="49">
        <f>AL$60*$E34</f>
        <v>13161.8049307176</v>
      </c>
      <c r="AM34" s="49" t="str">
        <f>AM35</f>
        <v>unused</v>
      </c>
      <c r="AN34" s="49" t="s">
        <v>243</v>
      </c>
    </row>
    <row r="35" ht="12.75" customHeight="1" spans="1:40" x14ac:dyDescent="0.25">
      <c r="A35" s="47">
        <f>A36+1</f>
        <v>2019</v>
      </c>
      <c r="B35" s="139">
        <f>'CPI-U &amp; C-CPI-U Calcs'!$H17</f>
        <v>1.08447093324674</v>
      </c>
      <c r="C35" s="78">
        <f>'CPI-U &amp; C-CPI-U Calcs'!$L17</f>
        <v>1.38475674163816</v>
      </c>
      <c r="D35" s="78">
        <f>'CPI-U &amp; C-CPI-U Calcs'!$P17</f>
        <v>1.78097110536044</v>
      </c>
      <c r="E35" s="78">
        <f>'CPI-U &amp; C-CPI-U Calcs'!$O17</f>
        <v>1.72810484241103</v>
      </c>
      <c r="F35" s="48">
        <f>F$51*$C35</f>
        <v>19386.5943829343</v>
      </c>
      <c r="G35" s="49">
        <f>G$61*$D35</f>
        <v>78718.9228569313</v>
      </c>
      <c r="H35" s="49">
        <f>H$61*$D35</f>
        <v>158773.574042883</v>
      </c>
      <c r="I35" s="49">
        <f>I$60*$E35</f>
        <v>241934.677937544</v>
      </c>
      <c r="J35" s="49">
        <f>J$60*$E35</f>
        <v>432026.210602757</v>
      </c>
      <c r="K35" s="49">
        <f>K$41*$B35</f>
        <v>488011.919961032</v>
      </c>
      <c r="L35" s="49" t="s">
        <v>243</v>
      </c>
      <c r="M35" s="48">
        <f>M$51*$C35</f>
        <v>9693.29719146713</v>
      </c>
      <c r="N35" s="49">
        <f>N$61*$D35</f>
        <v>39359.4614284656</v>
      </c>
      <c r="O35" s="49">
        <f>O$61*$D35</f>
        <v>95281.9541367833</v>
      </c>
      <c r="P35" s="49">
        <f>P$60*$E35</f>
        <v>198732.056877268</v>
      </c>
      <c r="Q35" s="49">
        <f>Q$60*$E35</f>
        <v>432026.210602757</v>
      </c>
      <c r="R35" s="49">
        <f>R$41*$B35</f>
        <v>433788.373298695</v>
      </c>
      <c r="S35" s="49" t="s">
        <v>243</v>
      </c>
      <c r="T35" s="48">
        <f>T$51*$C35</f>
        <v>13847.5674163816</v>
      </c>
      <c r="U35" s="49">
        <f>U$61*$D35</f>
        <v>52716.7447186689</v>
      </c>
      <c r="V35" s="49">
        <f>V$61*$D35</f>
        <v>136066.192449537</v>
      </c>
      <c r="W35" s="49">
        <f>W$60*$E35</f>
        <v>220333.367407406</v>
      </c>
      <c r="X35" s="49">
        <f>X$60*$E35</f>
        <v>432026.210602757</v>
      </c>
      <c r="Y35" s="49">
        <f>Y$41*$B35</f>
        <v>460900.146629863</v>
      </c>
      <c r="Z35" s="49" t="s">
        <v>243</v>
      </c>
      <c r="AA35" s="48">
        <f>AA$51*$C35</f>
        <v>9693.29719146713</v>
      </c>
      <c r="AB35" s="49">
        <f>AB$61*$D35</f>
        <v>39359.4614284656</v>
      </c>
      <c r="AC35" s="49">
        <f>AC$61*$D35</f>
        <v>79386.7870214414</v>
      </c>
      <c r="AD35" s="49">
        <f>AD$60*$E35</f>
        <v>120967.338968772</v>
      </c>
      <c r="AE35" s="49">
        <f>AE$60*$E35</f>
        <v>216013.105301378</v>
      </c>
      <c r="AF35" s="49">
        <f>AF$41*$B35</f>
        <v>244005.959980516</v>
      </c>
      <c r="AG35" s="49" t="s">
        <v>243</v>
      </c>
      <c r="AH35" s="48">
        <v>0</v>
      </c>
      <c r="AI35" s="49">
        <f>AI$61*$D35</f>
        <v>2671.45665804065</v>
      </c>
      <c r="AJ35" s="49">
        <f>AJ$61*$D35</f>
        <v>6233.39886876153</v>
      </c>
      <c r="AK35" s="49">
        <f>AK$60*$E35</f>
        <v>9504.57663326064</v>
      </c>
      <c r="AL35" s="49">
        <f>AL$60*$E35</f>
        <v>12960.7863180827</v>
      </c>
      <c r="AM35" s="49" t="str">
        <f>AM36</f>
        <v>unused</v>
      </c>
      <c r="AN35" s="49" t="s">
        <v>243</v>
      </c>
    </row>
    <row r="36" ht="12.75" customHeight="1" spans="1:40" s="73" customFormat="1" x14ac:dyDescent="0.25">
      <c r="A36" s="47">
        <f>A37+1</f>
        <v>2018</v>
      </c>
      <c r="B36" s="139">
        <f>'CPI-U &amp; C-CPI-U Calcs'!$H18</f>
        <v>1.06327895120344</v>
      </c>
      <c r="C36" s="78">
        <f>'CPI-U &amp; C-CPI-U Calcs'!$L18</f>
        <v>1.35769678170426</v>
      </c>
      <c r="D36" s="78">
        <f>'CPI-U &amp; C-CPI-U Calcs'!$P18</f>
        <v>1.7461685979558</v>
      </c>
      <c r="E36" s="78">
        <f>'CPI-U &amp; C-CPI-U Calcs'!$O18</f>
        <v>1.69433541100757</v>
      </c>
      <c r="F36" s="48">
        <f>F$51*$C36</f>
        <v>19007.7549438597</v>
      </c>
      <c r="G36" s="49">
        <f>G$61*$D36</f>
        <v>77180.6520296463</v>
      </c>
      <c r="H36" s="49">
        <f>H$61*$D36</f>
        <v>155670.93050776</v>
      </c>
      <c r="I36" s="49">
        <f>I$60*$E36</f>
        <v>237206.95754106</v>
      </c>
      <c r="J36" s="49">
        <f>J$60*$E36</f>
        <v>423583.852751894</v>
      </c>
      <c r="K36" s="49">
        <f>K$41*$B36</f>
        <v>478475.528041547</v>
      </c>
      <c r="L36" s="49" t="s">
        <v>243</v>
      </c>
      <c r="M36" s="48">
        <f>M$51*$C36</f>
        <v>9503.87747192985</v>
      </c>
      <c r="N36" s="49">
        <f>N$61*$D36</f>
        <v>38590.3260148232</v>
      </c>
      <c r="O36" s="49">
        <f>O$61*$D36</f>
        <v>93420.0199906353</v>
      </c>
      <c r="P36" s="49">
        <f>P$60*$E36</f>
        <v>194848.572265871</v>
      </c>
      <c r="Q36" s="49">
        <f>Q$60*$E36</f>
        <v>423583.852751894</v>
      </c>
      <c r="R36" s="49">
        <f>R$41*$B36</f>
        <v>425311.580481375</v>
      </c>
      <c r="S36" s="49" t="s">
        <v>243</v>
      </c>
      <c r="T36" s="48">
        <f>T$51*$C36</f>
        <v>13576.9678170426</v>
      </c>
      <c r="U36" s="49">
        <f>U$61*$D36</f>
        <v>51686.5904994917</v>
      </c>
      <c r="V36" s="49">
        <f>V$61*$D36</f>
        <v>133407.280883823</v>
      </c>
      <c r="W36" s="49">
        <f>W$60*$E36</f>
        <v>216027.764903466</v>
      </c>
      <c r="X36" s="49">
        <f>X$60*$E36</f>
        <v>423583.852751894</v>
      </c>
      <c r="Y36" s="49">
        <f>Y$41*$B36</f>
        <v>451893.554261461</v>
      </c>
      <c r="Z36" s="49" t="s">
        <v>243</v>
      </c>
      <c r="AA36" s="48">
        <f>AA$51*$C36</f>
        <v>9503.87747192985</v>
      </c>
      <c r="AB36" s="49">
        <f>AB$61*$D36</f>
        <v>38590.3260148232</v>
      </c>
      <c r="AC36" s="49">
        <f>AC$61*$D36</f>
        <v>77835.4652538798</v>
      </c>
      <c r="AD36" s="49">
        <f>AD$60*$E36</f>
        <v>118603.47877053</v>
      </c>
      <c r="AE36" s="49">
        <f>AE$60*$E36</f>
        <v>211791.926375947</v>
      </c>
      <c r="AF36" s="49">
        <f>AF$41*$B36</f>
        <v>239237.764020774</v>
      </c>
      <c r="AG36" s="49" t="s">
        <v>243</v>
      </c>
      <c r="AH36" s="48">
        <v>0</v>
      </c>
      <c r="AI36" s="49">
        <f>AI$61*$D36</f>
        <v>2619.2528969337</v>
      </c>
      <c r="AJ36" s="49">
        <f>AJ$61*$D36</f>
        <v>6111.5900928453</v>
      </c>
      <c r="AK36" s="49">
        <f>AK$60*$E36</f>
        <v>9318.84476054166</v>
      </c>
      <c r="AL36" s="49">
        <f>AL$60*$E36</f>
        <v>12707.5155825568</v>
      </c>
      <c r="AM36" s="49" t="str">
        <f>AM37</f>
        <v>unused</v>
      </c>
      <c r="AN36" s="49" t="s">
        <v>243</v>
      </c>
    </row>
    <row r="37" ht="12.75" customHeight="1" spans="1:40" x14ac:dyDescent="0.25">
      <c r="A37" s="18">
        <f>A38+1</f>
        <v>2017</v>
      </c>
      <c r="B37" s="140">
        <f>'CPI-U &amp; C-CPI-U Calcs'!$H19</f>
        <v>1.04602064509625</v>
      </c>
      <c r="C37" s="79">
        <f>'CPI-U &amp; C-CPI-U Calcs'!$L19</f>
        <v>1.33565971736393</v>
      </c>
      <c r="D37" s="79">
        <f>'CPI-U &amp; C-CPI-U Calcs'!$P19</f>
        <v>1.71782616519705</v>
      </c>
      <c r="E37" s="79">
        <f>'CPI-U &amp; C-CPI-U Calcs'!$O19</f>
        <v>1.66683429369653</v>
      </c>
      <c r="F37" s="44">
        <f>F$51*$C37</f>
        <v>18699.236043095</v>
      </c>
      <c r="G37" s="45">
        <f>G$61*$D37</f>
        <v>75927.9165017095</v>
      </c>
      <c r="H37" s="45">
        <f>H$61*$D37</f>
        <v>153144.202627317</v>
      </c>
      <c r="I37" s="45">
        <f>I$60*$E37</f>
        <v>233356.801117514</v>
      </c>
      <c r="J37" s="45">
        <f>J$60*$E37</f>
        <v>416708.573424131</v>
      </c>
      <c r="K37" s="45">
        <f>K$41*$B37</f>
        <v>470709.290293313</v>
      </c>
      <c r="L37" s="45" t="s">
        <v>243</v>
      </c>
      <c r="M37" s="44">
        <f>M$51*$C37</f>
        <v>9349.6180215475</v>
      </c>
      <c r="N37" s="45">
        <f>N$61*$D37</f>
        <v>37963.9582508548</v>
      </c>
      <c r="O37" s="45">
        <f>O$61*$D37</f>
        <v>91903.6998380421</v>
      </c>
      <c r="P37" s="45">
        <f>P$60*$E37</f>
        <v>191685.9437751</v>
      </c>
      <c r="Q37" s="45">
        <f>Q$60*$E37</f>
        <v>416708.573424131</v>
      </c>
      <c r="R37" s="45">
        <f>R$41*$B37</f>
        <v>418408.2580385</v>
      </c>
      <c r="S37" s="45" t="s">
        <v>243</v>
      </c>
      <c r="T37" s="44">
        <f>T$51*$C37</f>
        <v>13356.5971736393</v>
      </c>
      <c r="U37" s="45">
        <f>U$61*$D37</f>
        <v>50847.6544898326</v>
      </c>
      <c r="V37" s="45">
        <f>V$61*$D37</f>
        <v>131241.919021055</v>
      </c>
      <c r="W37" s="45">
        <f>W$60*$E37</f>
        <v>212521.372446307</v>
      </c>
      <c r="X37" s="45">
        <f>X$60*$E37</f>
        <v>416708.573424131</v>
      </c>
      <c r="Y37" s="45">
        <f>Y$41*$B37</f>
        <v>444558.774165907</v>
      </c>
      <c r="Z37" s="45" t="s">
        <v>243</v>
      </c>
      <c r="AA37" s="44">
        <f>AA$51*$C37</f>
        <v>9349.6180215475</v>
      </c>
      <c r="AB37" s="45">
        <f>AB$61*$D37</f>
        <v>37963.9582508548</v>
      </c>
      <c r="AC37" s="45">
        <f>AC$61*$D37</f>
        <v>76572.1013136584</v>
      </c>
      <c r="AD37" s="45">
        <f>AD$60*$E37</f>
        <v>116678.400558757</v>
      </c>
      <c r="AE37" s="45">
        <f>AE$60*$E37</f>
        <v>208354.286712066</v>
      </c>
      <c r="AF37" s="45">
        <f>AF$41*$B37</f>
        <v>235354.645146656</v>
      </c>
      <c r="AG37" s="45" t="s">
        <v>243</v>
      </c>
      <c r="AH37" s="44">
        <v>0</v>
      </c>
      <c r="AI37" s="45">
        <f>AI$61*$D37</f>
        <v>2576.73924779557</v>
      </c>
      <c r="AJ37" s="45">
        <f>AJ$61*$D37</f>
        <v>6012.39157818967</v>
      </c>
      <c r="AK37" s="45">
        <f>AK$60*$E37</f>
        <v>9167.58861533089</v>
      </c>
      <c r="AL37" s="45">
        <f>AL$60*$E37</f>
        <v>12501.2572027239</v>
      </c>
      <c r="AM37" s="45" t="str">
        <f>AM38</f>
        <v>unused</v>
      </c>
      <c r="AN37" s="45" t="s">
        <v>243</v>
      </c>
    </row>
    <row r="38" ht="12.75" customHeight="1" spans="1:40" x14ac:dyDescent="0.25">
      <c r="A38" s="18">
        <f>A39+1</f>
        <v>2016</v>
      </c>
      <c r="B38" s="140">
        <f>'CPI-U &amp; C-CPI-U Calcs'!$H20</f>
        <v>1.03769240406415</v>
      </c>
      <c r="C38" s="79">
        <f>'CPI-U &amp; C-CPI-U Calcs'!$L20</f>
        <v>1.32502541859055</v>
      </c>
      <c r="D38" s="79">
        <f>'CPI-U &amp; C-CPI-U Calcs'!$P20</f>
        <v>1.70414912122848</v>
      </c>
      <c r="E38" s="79">
        <f>'CPI-U &amp; C-CPI-U Calcs'!$O20</f>
        <v>1.65356323846109</v>
      </c>
      <c r="F38" s="44">
        <f>F$51*$C38</f>
        <v>18550.3558602677</v>
      </c>
      <c r="G38" s="45">
        <f>G$61*$D38</f>
        <v>75323.3911582988</v>
      </c>
      <c r="H38" s="45">
        <f>H$61*$D38</f>
        <v>151924.894157519</v>
      </c>
      <c r="I38" s="45">
        <f>I$60*$E38</f>
        <v>231498.853384553</v>
      </c>
      <c r="J38" s="45">
        <f>J$60*$E38</f>
        <v>413390.809615273</v>
      </c>
      <c r="K38" s="45">
        <f>K$41*$B38</f>
        <v>466961.581828867</v>
      </c>
      <c r="L38" s="45" t="s">
        <v>243</v>
      </c>
      <c r="M38" s="44">
        <f>M$51*$C38</f>
        <v>9275.17793013386</v>
      </c>
      <c r="N38" s="45">
        <f>N$61*$D38</f>
        <v>37661.6955791494</v>
      </c>
      <c r="O38" s="45">
        <f>O$61*$D38</f>
        <v>91171.9779857237</v>
      </c>
      <c r="P38" s="45">
        <f>P$60*$E38</f>
        <v>190159.772423025</v>
      </c>
      <c r="Q38" s="45">
        <f>Q$60*$E38</f>
        <v>413390.809615273</v>
      </c>
      <c r="R38" s="45">
        <f>R$41*$B38</f>
        <v>415076.96162566</v>
      </c>
      <c r="S38" s="45" t="s">
        <v>243</v>
      </c>
      <c r="T38" s="44">
        <f>T$51*$C38</f>
        <v>13250.2541859055</v>
      </c>
      <c r="U38" s="45">
        <f>U$61*$D38</f>
        <v>50442.813988363</v>
      </c>
      <c r="V38" s="45">
        <f>V$61*$D38</f>
        <v>130196.992861856</v>
      </c>
      <c r="W38" s="45">
        <f>W$60*$E38</f>
        <v>210829.312903789</v>
      </c>
      <c r="X38" s="45">
        <f>X$60*$E38</f>
        <v>413390.809615273</v>
      </c>
      <c r="Y38" s="45">
        <f>Y$41*$B38</f>
        <v>441019.271727264</v>
      </c>
      <c r="Z38" s="45" t="s">
        <v>243</v>
      </c>
      <c r="AA38" s="44">
        <f>AA$51*$C38</f>
        <v>9275.17793013386</v>
      </c>
      <c r="AB38" s="45">
        <f>AB$61*$D38</f>
        <v>37661.6955791494</v>
      </c>
      <c r="AC38" s="45">
        <f>AC$61*$D38</f>
        <v>75962.4470787595</v>
      </c>
      <c r="AD38" s="45">
        <f>AD$60*$E38</f>
        <v>115749.426692276</v>
      </c>
      <c r="AE38" s="45">
        <f>AE$60*$E38</f>
        <v>206695.404807636</v>
      </c>
      <c r="AF38" s="45">
        <f>AF$41*$B38</f>
        <v>233480.790914434</v>
      </c>
      <c r="AG38" s="45" t="s">
        <v>243</v>
      </c>
      <c r="AH38" s="44">
        <v>0</v>
      </c>
      <c r="AI38" s="45">
        <f>AI$61*$D38</f>
        <v>2556.22368184272</v>
      </c>
      <c r="AJ38" s="45">
        <f>AJ$61*$D38</f>
        <v>5964.52192429968</v>
      </c>
      <c r="AK38" s="45">
        <f>AK$60*$E38</f>
        <v>9094.597811536</v>
      </c>
      <c r="AL38" s="45">
        <f>AL$60*$E38</f>
        <v>12401.7242884582</v>
      </c>
      <c r="AM38" s="45" t="str">
        <f>AM39</f>
        <v>unused</v>
      </c>
      <c r="AN38" s="45" t="s">
        <v>243</v>
      </c>
    </row>
    <row r="39" ht="12.75" customHeight="1" spans="1:40" x14ac:dyDescent="0.25">
      <c r="A39" s="18">
        <f>A40+1</f>
        <v>2015</v>
      </c>
      <c r="B39" s="140">
        <f>'CPI-U &amp; C-CPI-U Calcs'!$H21</f>
        <v>1.0330291588882</v>
      </c>
      <c r="C39" s="79">
        <f>'CPI-U &amp; C-CPI-U Calcs'!$L21</f>
        <v>1.31907093885546</v>
      </c>
      <c r="D39" s="79">
        <f>'CPI-U &amp; C-CPI-U Calcs'!$P21</f>
        <v>1.69649091236279</v>
      </c>
      <c r="E39" s="79">
        <f>'CPI-U &amp; C-CPI-U Calcs'!$O21</f>
        <v>1.64613235550899</v>
      </c>
      <c r="F39" s="44">
        <f>F$51*$C39</f>
        <v>18466.9931439765</v>
      </c>
      <c r="G39" s="45">
        <f>G$61*$D39</f>
        <v>74984.8983264351</v>
      </c>
      <c r="H39" s="45">
        <f>H$61*$D39</f>
        <v>151242.164837142</v>
      </c>
      <c r="I39" s="45">
        <f>I$60*$E39</f>
        <v>230458.529771259</v>
      </c>
      <c r="J39" s="45">
        <f>J$60*$E39</f>
        <v>411533.088877248</v>
      </c>
      <c r="K39" s="45">
        <f>K$41*$B39</f>
        <v>464863.12149969</v>
      </c>
      <c r="L39" s="45" t="s">
        <v>243</v>
      </c>
      <c r="M39" s="44">
        <f>M$51*$C39</f>
        <v>9233.49657198825</v>
      </c>
      <c r="N39" s="45">
        <f>N$61*$D39</f>
        <v>37492.4491632176</v>
      </c>
      <c r="O39" s="45">
        <f>O$61*$D39</f>
        <v>90762.263811409</v>
      </c>
      <c r="P39" s="45">
        <f>P$60*$E39</f>
        <v>189305.220883534</v>
      </c>
      <c r="Q39" s="45">
        <f>Q$60*$E39</f>
        <v>411533.088877248</v>
      </c>
      <c r="R39" s="45">
        <f>R$41*$B39</f>
        <v>413211.66355528</v>
      </c>
      <c r="S39" s="45" t="s">
        <v>243</v>
      </c>
      <c r="T39" s="44">
        <f>T$51*$C39</f>
        <v>13190.7093885546</v>
      </c>
      <c r="U39" s="45">
        <f>U$61*$D39</f>
        <v>50216.1310059384</v>
      </c>
      <c r="V39" s="45">
        <f>V$61*$D39</f>
        <v>129611.905704517</v>
      </c>
      <c r="W39" s="45">
        <f>W$60*$E39</f>
        <v>209881.875327396</v>
      </c>
      <c r="X39" s="45">
        <f>X$60*$E39</f>
        <v>411533.088877248</v>
      </c>
      <c r="Y39" s="45">
        <f>Y$41*$B39</f>
        <v>439037.392527485</v>
      </c>
      <c r="Z39" s="45" t="s">
        <v>243</v>
      </c>
      <c r="AA39" s="44">
        <f>AA$51*$C39</f>
        <v>9233.49657198825</v>
      </c>
      <c r="AB39" s="45">
        <f>AB$61*$D39</f>
        <v>37492.4491632176</v>
      </c>
      <c r="AC39" s="45">
        <f>AC$61*$D39</f>
        <v>75621.0824185711</v>
      </c>
      <c r="AD39" s="45">
        <f>AD$60*$E39</f>
        <v>115229.264885629</v>
      </c>
      <c r="AE39" s="45">
        <f>AE$60*$E39</f>
        <v>205766.544438624</v>
      </c>
      <c r="AF39" s="45">
        <f>AF$41*$B39</f>
        <v>232431.560749845</v>
      </c>
      <c r="AG39" s="45" t="s">
        <v>243</v>
      </c>
      <c r="AH39" s="44">
        <v>0</v>
      </c>
      <c r="AI39" s="45">
        <f>AI$61*$D39</f>
        <v>2544.73636854418</v>
      </c>
      <c r="AJ39" s="45">
        <f>AJ$61*$D39</f>
        <v>5937.71819326975</v>
      </c>
      <c r="AK39" s="45">
        <f>AK$60*$E39</f>
        <v>9053.72795529946</v>
      </c>
      <c r="AL39" s="45">
        <f>AL$60*$E39</f>
        <v>12345.9926663174</v>
      </c>
      <c r="AM39" s="45" t="str">
        <f>AM40</f>
        <v>unused</v>
      </c>
      <c r="AN39" s="45" t="s">
        <v>243</v>
      </c>
    </row>
    <row r="40" ht="12.75" customHeight="1" spans="1:40" x14ac:dyDescent="0.25">
      <c r="A40" s="18">
        <f>A41+1</f>
        <v>2014</v>
      </c>
      <c r="B40" s="140">
        <f>'CPI-U &amp; C-CPI-U Calcs'!$H22</f>
        <v>1.01695708915904</v>
      </c>
      <c r="C40" s="79">
        <f>'CPI-U &amp; C-CPI-U Calcs'!$L22</f>
        <v>1.29854857515974</v>
      </c>
      <c r="D40" s="79">
        <f>'CPI-U &amp; C-CPI-U Calcs'!$P22</f>
        <v>1.67009657489053</v>
      </c>
      <c r="E40" s="79">
        <f>'CPI-U &amp; C-CPI-U Calcs'!$O22</f>
        <v>1.62052150631512</v>
      </c>
      <c r="F40" s="44">
        <f>F$51*$C40</f>
        <v>18179.6800522364</v>
      </c>
      <c r="G40" s="45">
        <f>G$61*$D40</f>
        <v>73818.2686101613</v>
      </c>
      <c r="H40" s="45">
        <f>H$61*$D40</f>
        <v>148889.109651491</v>
      </c>
      <c r="I40" s="45">
        <f>I$60*$E40</f>
        <v>226873.010884116</v>
      </c>
      <c r="J40" s="45">
        <f>J$60*$E40</f>
        <v>405130.376578779</v>
      </c>
      <c r="K40" s="45">
        <f>K$41*$B40</f>
        <v>457630.690121569</v>
      </c>
      <c r="L40" s="45" t="s">
        <v>243</v>
      </c>
      <c r="M40" s="44">
        <f>M$51*$C40</f>
        <v>9089.84002611818</v>
      </c>
      <c r="N40" s="45">
        <f>N$61*$D40</f>
        <v>36909.1343050807</v>
      </c>
      <c r="O40" s="45">
        <f>O$61*$D40</f>
        <v>89350.1667566432</v>
      </c>
      <c r="P40" s="45">
        <f>P$60*$E40</f>
        <v>186359.973226238</v>
      </c>
      <c r="Q40" s="45">
        <f>Q$60*$E40</f>
        <v>405130.376578779</v>
      </c>
      <c r="R40" s="45">
        <f>R$41*$B40</f>
        <v>406782.835663617</v>
      </c>
      <c r="S40" s="45" t="s">
        <v>243</v>
      </c>
      <c r="T40" s="44">
        <f>T$51*$C40</f>
        <v>12985.4857515974</v>
      </c>
      <c r="U40" s="45">
        <f>U$61*$D40</f>
        <v>49434.8586167596</v>
      </c>
      <c r="V40" s="45">
        <f>V$61*$D40</f>
        <v>127595.378321636</v>
      </c>
      <c r="W40" s="45">
        <f>W$60*$E40</f>
        <v>206616.492055177</v>
      </c>
      <c r="X40" s="45">
        <f>X$60*$E40</f>
        <v>405130.376578779</v>
      </c>
      <c r="Y40" s="45">
        <f>Y$41*$B40</f>
        <v>432206.762892593</v>
      </c>
      <c r="Z40" s="45" t="s">
        <v>243</v>
      </c>
      <c r="AA40" s="44">
        <f>AA$51*$C40</f>
        <v>9089.84002611818</v>
      </c>
      <c r="AB40" s="45">
        <f>AB$61*$D40</f>
        <v>36909.1343050807</v>
      </c>
      <c r="AC40" s="45">
        <f>AC$61*$D40</f>
        <v>74444.5548257453</v>
      </c>
      <c r="AD40" s="45">
        <f>AD$60*$E40</f>
        <v>113436.505442058</v>
      </c>
      <c r="AE40" s="45">
        <f>AE$60*$E40</f>
        <v>202565.188289389</v>
      </c>
      <c r="AF40" s="45">
        <f>AF$41*$B40</f>
        <v>228815.345060784</v>
      </c>
      <c r="AG40" s="45" t="s">
        <v>243</v>
      </c>
      <c r="AH40" s="44">
        <v>0</v>
      </c>
      <c r="AI40" s="45">
        <f>AI$61*$D40</f>
        <v>2505.14486233579</v>
      </c>
      <c r="AJ40" s="45">
        <f>AJ$61*$D40</f>
        <v>5845.33801211685</v>
      </c>
      <c r="AK40" s="45">
        <f>AK$60*$E40</f>
        <v>8912.86828473313</v>
      </c>
      <c r="AL40" s="45">
        <f>AL$60*$E40</f>
        <v>12153.9112973634</v>
      </c>
      <c r="AM40" s="45" t="str">
        <f>AM41</f>
        <v>unused</v>
      </c>
      <c r="AN40" s="45" t="s">
        <v>243</v>
      </c>
    </row>
    <row r="41" ht="12.75" customHeight="1" spans="1:40" x14ac:dyDescent="0.25">
      <c r="A41" s="18">
        <f>A42+1</f>
        <v>2013</v>
      </c>
      <c r="B41" s="141">
        <f>'CPI-U &amp; C-CPI-U Calcs'!$H23</f>
        <v>1</v>
      </c>
      <c r="C41" s="79">
        <f>'CPI-U &amp; C-CPI-U Calcs'!$L23</f>
        <v>1.27689613357586</v>
      </c>
      <c r="D41" s="79">
        <f>'CPI-U &amp; C-CPI-U Calcs'!$P23</f>
        <v>1.64224881530802</v>
      </c>
      <c r="E41" s="79">
        <f>'CPI-U &amp; C-CPI-U Calcs'!$O23</f>
        <v>1.59350037832489</v>
      </c>
      <c r="F41" s="44">
        <f>F$51*$C41</f>
        <v>17876.545870062</v>
      </c>
      <c r="G41" s="45">
        <f>G$61*$D41</f>
        <v>72587.3976366145</v>
      </c>
      <c r="H41" s="45">
        <f>H$61*$D41</f>
        <v>146406.48188471</v>
      </c>
      <c r="I41" s="45">
        <f>I$60*$E41</f>
        <v>223090.052965485</v>
      </c>
      <c r="J41" s="45">
        <f>J$60*$E41</f>
        <v>398375.094581223</v>
      </c>
      <c r="K41" s="88">
        <v>450000</v>
      </c>
      <c r="L41" s="45" t="s">
        <v>243</v>
      </c>
      <c r="M41" s="44">
        <f>M$51*$C41</f>
        <v>8938.27293503102</v>
      </c>
      <c r="N41" s="45">
        <f>N$61*$D41</f>
        <v>36293.6988183072</v>
      </c>
      <c r="O41" s="45">
        <f>O$61*$D41</f>
        <v>87860.311618979</v>
      </c>
      <c r="P41" s="45">
        <f>P$60*$E41</f>
        <v>183252.543507363</v>
      </c>
      <c r="Q41" s="45">
        <f>Q$60*$E41</f>
        <v>398375.094581223</v>
      </c>
      <c r="R41" s="88">
        <v>400000</v>
      </c>
      <c r="S41" s="45" t="s">
        <v>243</v>
      </c>
      <c r="T41" s="44">
        <f>T$51*$C41</f>
        <v>12768.9613357586</v>
      </c>
      <c r="U41" s="45">
        <f>U$61*$D41</f>
        <v>48610.5649331174</v>
      </c>
      <c r="V41" s="45">
        <f>V$61*$D41</f>
        <v>125467.809489533</v>
      </c>
      <c r="W41" s="45">
        <f>W$60*$E41</f>
        <v>203171.298236424</v>
      </c>
      <c r="X41" s="45">
        <f>X$60*$E41</f>
        <v>398375.094581223</v>
      </c>
      <c r="Y41" s="88">
        <v>425000</v>
      </c>
      <c r="Z41" s="45" t="s">
        <v>243</v>
      </c>
      <c r="AA41" s="44">
        <f>AA$51*$C41</f>
        <v>8938.27293503102</v>
      </c>
      <c r="AB41" s="45">
        <f>AB$61*$D41</f>
        <v>36293.6988183072</v>
      </c>
      <c r="AC41" s="45">
        <f>AC$61*$D41</f>
        <v>73203.240942355</v>
      </c>
      <c r="AD41" s="45">
        <f>AD$60*$E41</f>
        <v>111545.026482743</v>
      </c>
      <c r="AE41" s="45">
        <f>AE$60*$E41</f>
        <v>199187.547290612</v>
      </c>
      <c r="AF41" s="88">
        <v>225000</v>
      </c>
      <c r="AG41" s="45" t="s">
        <v>243</v>
      </c>
      <c r="AH41" s="44">
        <v>0</v>
      </c>
      <c r="AI41" s="45">
        <f>AI$61*$D41</f>
        <v>2463.37322296203</v>
      </c>
      <c r="AJ41" s="45">
        <f>AJ$61*$D41</f>
        <v>5747.87085357807</v>
      </c>
      <c r="AK41" s="45">
        <f>AK$60*$E41</f>
        <v>8764.25208078691</v>
      </c>
      <c r="AL41" s="45">
        <f>AL$60*$E41</f>
        <v>11951.2528374367</v>
      </c>
      <c r="AM41" s="88" t="s">
        <v>244</v>
      </c>
      <c r="AN41" s="88" t="s">
        <v>243</v>
      </c>
    </row>
    <row r="42" ht="12.75" customHeight="1" spans="1:40" x14ac:dyDescent="0.25">
      <c r="A42" s="18">
        <f>A43+1</f>
        <v>2012</v>
      </c>
      <c r="B42" s="142"/>
      <c r="C42" s="79">
        <f>'CPI-U &amp; C-CPI-U Calcs'!$L24</f>
        <v>1.24489995802435</v>
      </c>
      <c r="D42" s="79">
        <f>'CPI-U &amp; C-CPI-U Calcs'!$P24</f>
        <v>1.60109771459421</v>
      </c>
      <c r="E42" s="79">
        <f>'CPI-U &amp; C-CPI-U Calcs'!$O24</f>
        <v>1.55357080495897</v>
      </c>
      <c r="F42" s="44">
        <f>F$51*$C42</f>
        <v>17428.5994123408</v>
      </c>
      <c r="G42" s="45">
        <f>G$61*$D42</f>
        <v>70768.5189850639</v>
      </c>
      <c r="H42" s="45">
        <f>H$61*$D42</f>
        <v>142737.861256073</v>
      </c>
      <c r="I42" s="45">
        <f>I$60*$E42</f>
        <v>217499.912694255</v>
      </c>
      <c r="J42" s="45">
        <f>J$60*$E42</f>
        <v>388392.701239742</v>
      </c>
      <c r="K42" s="45"/>
      <c r="L42" s="45" t="s">
        <v>243</v>
      </c>
      <c r="M42" s="44">
        <f>M$51*$C42</f>
        <v>8714.29970617042</v>
      </c>
      <c r="N42" s="45">
        <f>N$61*$D42</f>
        <v>35384.2594925319</v>
      </c>
      <c r="O42" s="45">
        <f>O$61*$D42</f>
        <v>85658.72773079</v>
      </c>
      <c r="P42" s="45">
        <f>P$60*$E42</f>
        <v>178660.642570281</v>
      </c>
      <c r="Q42" s="45">
        <f>Q$60*$E42</f>
        <v>388392.701239742</v>
      </c>
      <c r="R42" s="45"/>
      <c r="S42" s="45" t="s">
        <v>243</v>
      </c>
      <c r="T42" s="44">
        <f>T$51*$C42</f>
        <v>12448.9995802435</v>
      </c>
      <c r="U42" s="45">
        <f>U$61*$D42</f>
        <v>47392.4923519885</v>
      </c>
      <c r="V42" s="45">
        <f>V$61*$D42</f>
        <v>122323.865394997</v>
      </c>
      <c r="W42" s="45">
        <f>W$60*$E42</f>
        <v>198080.277632268</v>
      </c>
      <c r="X42" s="45">
        <f>X$60*$E42</f>
        <v>388392.701239742</v>
      </c>
      <c r="Y42" s="45"/>
      <c r="Z42" s="45" t="s">
        <v>243</v>
      </c>
      <c r="AA42" s="44">
        <f>AA$51*$C42</f>
        <v>8714.29970617042</v>
      </c>
      <c r="AB42" s="45">
        <f>AB$61*$D42</f>
        <v>35384.2594925319</v>
      </c>
      <c r="AC42" s="45">
        <f>AC$61*$D42</f>
        <v>71368.9306280367</v>
      </c>
      <c r="AD42" s="45">
        <f>AD$60*$E42</f>
        <v>108749.956347128</v>
      </c>
      <c r="AE42" s="45">
        <f>AE$60*$E42</f>
        <v>194196.350619871</v>
      </c>
      <c r="AF42" s="45"/>
      <c r="AG42" s="45" t="s">
        <v>243</v>
      </c>
      <c r="AH42" s="44">
        <v>0</v>
      </c>
      <c r="AI42" s="45">
        <f>AI$61*$D42</f>
        <v>2401.64657189131</v>
      </c>
      <c r="AJ42" s="45">
        <f>AJ$61*$D42</f>
        <v>5603.84200107972</v>
      </c>
      <c r="AK42" s="45">
        <f>AK$60*$E42</f>
        <v>8544.63942727431</v>
      </c>
      <c r="AL42" s="45">
        <f>AL$60*$E42</f>
        <v>11651.7810371922</v>
      </c>
      <c r="AN42" s="45"/>
    </row>
    <row r="43" ht="12.75" customHeight="1" spans="1:40" x14ac:dyDescent="0.25">
      <c r="A43" s="18">
        <f>A44+1</f>
        <v>2011</v>
      </c>
      <c r="B43" s="142"/>
      <c r="C43" s="79">
        <f>'CPI-U &amp; C-CPI-U Calcs'!$L25</f>
        <v>1.21540926262768</v>
      </c>
      <c r="D43" s="79">
        <f>'CPI-U &amp; C-CPI-U Calcs'!$P25</f>
        <v>1.56316897606622</v>
      </c>
      <c r="E43" s="79">
        <f>'CPI-U &amp; C-CPI-U Calcs'!$O25</f>
        <v>1.51676794133054</v>
      </c>
      <c r="F43" s="44">
        <f>F$51*$C43</f>
        <v>17015.7296767875</v>
      </c>
      <c r="G43" s="45">
        <f>G$61*$D43</f>
        <v>69092.068742127</v>
      </c>
      <c r="H43" s="45">
        <f>H$61*$D43</f>
        <v>139356.514216304</v>
      </c>
      <c r="I43" s="45">
        <f>I$60*$E43</f>
        <v>212347.511786275</v>
      </c>
      <c r="J43" s="45">
        <f>J$60*$E43</f>
        <v>379191.985332635</v>
      </c>
      <c r="K43" s="45"/>
      <c r="L43" s="45" t="s">
        <v>243</v>
      </c>
      <c r="M43" s="44">
        <f>M$51*$C43</f>
        <v>8507.86483839373</v>
      </c>
      <c r="N43" s="45">
        <f>N$61*$D43</f>
        <v>34546.0343710635</v>
      </c>
      <c r="O43" s="45">
        <f>O$61*$D43</f>
        <v>83629.5402195429</v>
      </c>
      <c r="P43" s="45">
        <f>P$60*$E43</f>
        <v>174428.313253012</v>
      </c>
      <c r="Q43" s="45">
        <f>Q$60*$E43</f>
        <v>379191.985332635</v>
      </c>
      <c r="R43" s="45"/>
      <c r="S43" s="45" t="s">
        <v>243</v>
      </c>
      <c r="T43" s="44">
        <f>T$51*$C43</f>
        <v>12154.0926262768</v>
      </c>
      <c r="U43" s="45">
        <f>U$61*$D43</f>
        <v>46269.8016915602</v>
      </c>
      <c r="V43" s="45">
        <f>V$61*$D43</f>
        <v>119426.109771459</v>
      </c>
      <c r="W43" s="45">
        <f>W$60*$E43</f>
        <v>193387.912519644</v>
      </c>
      <c r="X43" s="45">
        <f>X$60*$E43</f>
        <v>379191.985332635</v>
      </c>
      <c r="Y43" s="45"/>
      <c r="Z43" s="45" t="s">
        <v>243</v>
      </c>
      <c r="AA43" s="44">
        <f>AA$51*$C43</f>
        <v>8507.86483839373</v>
      </c>
      <c r="AB43" s="45">
        <f>AB$61*$D43</f>
        <v>34546.0343710635</v>
      </c>
      <c r="AC43" s="45">
        <f>AC$61*$D43</f>
        <v>69678.2571081519</v>
      </c>
      <c r="AD43" s="45">
        <f>AD$60*$E43</f>
        <v>106173.755893138</v>
      </c>
      <c r="AE43" s="45">
        <f>AE$60*$E43</f>
        <v>189595.992666317</v>
      </c>
      <c r="AF43" s="45"/>
      <c r="AG43" s="45" t="s">
        <v>243</v>
      </c>
      <c r="AH43" s="44">
        <v>0</v>
      </c>
      <c r="AI43" s="45">
        <f>AI$61*$D43</f>
        <v>2344.75346409933</v>
      </c>
      <c r="AJ43" s="45">
        <f>AJ$61*$D43</f>
        <v>5471.09141623178</v>
      </c>
      <c r="AK43" s="45">
        <f>AK$60*$E43</f>
        <v>8342.22367731797</v>
      </c>
      <c r="AL43" s="45">
        <f>AL$60*$E43</f>
        <v>11375.759559979</v>
      </c>
      <c r="AN43" s="45"/>
    </row>
    <row r="44" ht="12.75" customHeight="1" spans="1:40" x14ac:dyDescent="0.25">
      <c r="A44" s="18">
        <f>A45+1</f>
        <v>2010</v>
      </c>
      <c r="B44" s="142"/>
      <c r="C44" s="79">
        <f>'CPI-U &amp; C-CPI-U Calcs'!$L26</f>
        <v>1.19771839000047</v>
      </c>
      <c r="D44" s="79">
        <f>'CPI-U &amp; C-CPI-U Calcs'!$P26</f>
        <v>1.54041629176414</v>
      </c>
      <c r="E44" s="79">
        <f>'CPI-U &amp; C-CPI-U Calcs'!$O26</f>
        <v>1.49469064664455</v>
      </c>
      <c r="F44" s="44">
        <f>F$51*$C44</f>
        <v>16768.0574600065</v>
      </c>
      <c r="G44" s="45">
        <f>G$61*$D44</f>
        <v>68086.400095975</v>
      </c>
      <c r="H44" s="45">
        <f>H$61*$D44</f>
        <v>137328.112410773</v>
      </c>
      <c r="I44" s="45">
        <f>I$60*$E44</f>
        <v>209256.690530237</v>
      </c>
      <c r="J44" s="45">
        <f>J$60*$E44</f>
        <v>373672.661661137</v>
      </c>
      <c r="K44" s="45"/>
      <c r="L44" s="45" t="s">
        <v>243</v>
      </c>
      <c r="M44" s="44">
        <f>M$51*$C44</f>
        <v>8384.02873000327</v>
      </c>
      <c r="N44" s="45">
        <f>N$61*$D44</f>
        <v>34043.2000479875</v>
      </c>
      <c r="O44" s="45">
        <f>O$61*$D44</f>
        <v>82412.2716093816</v>
      </c>
      <c r="P44" s="45">
        <f>P$60*$E44</f>
        <v>171889.424364123</v>
      </c>
      <c r="Q44" s="45">
        <f>Q$60*$E44</f>
        <v>373672.661661137</v>
      </c>
      <c r="R44" s="45"/>
      <c r="S44" s="45" t="s">
        <v>243</v>
      </c>
      <c r="T44" s="44">
        <f>T$51*$C44</f>
        <v>11977.1839000047</v>
      </c>
      <c r="U44" s="45">
        <f>U$61*$D44</f>
        <v>45596.3222362186</v>
      </c>
      <c r="V44" s="45">
        <f>V$61*$D44</f>
        <v>117687.80469078</v>
      </c>
      <c r="W44" s="45">
        <f>W$60*$E44</f>
        <v>190573.05744718</v>
      </c>
      <c r="X44" s="45">
        <f>X$60*$E44</f>
        <v>373672.661661137</v>
      </c>
      <c r="Y44" s="45"/>
      <c r="Z44" s="45" t="s">
        <v>243</v>
      </c>
      <c r="AA44" s="44">
        <f>AA$51*$C44</f>
        <v>8384.02873000327</v>
      </c>
      <c r="AB44" s="45">
        <f>AB$61*$D44</f>
        <v>34043.2000479875</v>
      </c>
      <c r="AC44" s="45">
        <f>AC$61*$D44</f>
        <v>68664.0562053866</v>
      </c>
      <c r="AD44" s="45">
        <f>AD$60*$E44</f>
        <v>104628.345265118</v>
      </c>
      <c r="AE44" s="45">
        <f>AE$60*$E44</f>
        <v>186836.330830569</v>
      </c>
      <c r="AF44" s="45"/>
      <c r="AG44" s="45" t="s">
        <v>243</v>
      </c>
      <c r="AH44" s="44">
        <v>0</v>
      </c>
      <c r="AI44" s="45">
        <f>AI$61*$D44</f>
        <v>2310.62443764621</v>
      </c>
      <c r="AJ44" s="45">
        <f>AJ$61*$D44</f>
        <v>5391.4570211745</v>
      </c>
      <c r="AK44" s="45">
        <f>AK$60*$E44</f>
        <v>8220.79855654502</v>
      </c>
      <c r="AL44" s="45">
        <f>AL$60*$E44</f>
        <v>11210.1798498341</v>
      </c>
      <c r="AN44" s="45"/>
    </row>
    <row r="45" ht="12.75" customHeight="1" spans="1:40" x14ac:dyDescent="0.25">
      <c r="A45" s="18">
        <f>A46+1</f>
        <v>2009</v>
      </c>
      <c r="B45" s="142"/>
      <c r="C45" s="79">
        <f>'CPI-U &amp; C-CPI-U Calcs'!$L27</f>
        <v>1.19549461312439</v>
      </c>
      <c r="D45" s="79">
        <f>'CPI-U &amp; C-CPI-U Calcs'!$P27</f>
        <v>1.5375562353788</v>
      </c>
      <c r="E45" s="79">
        <f>'CPI-U &amp; C-CPI-U Calcs'!$O27</f>
        <v>1.49191548803911</v>
      </c>
      <c r="F45" s="44">
        <f>F$51*$C45</f>
        <v>16736.9245837414</v>
      </c>
      <c r="G45" s="45">
        <f>G$61*$D45</f>
        <v>67959.985603743</v>
      </c>
      <c r="H45" s="45">
        <f>H$61*$D45</f>
        <v>137073.13838402</v>
      </c>
      <c r="I45" s="45">
        <f>I$60*$E45</f>
        <v>208868.168325476</v>
      </c>
      <c r="J45" s="45">
        <f>J$60*$E45</f>
        <v>372978.872009778</v>
      </c>
      <c r="K45" s="45"/>
      <c r="L45" s="45" t="s">
        <v>243</v>
      </c>
      <c r="M45" s="44">
        <f>M$51*$C45</f>
        <v>8368.46229187072</v>
      </c>
      <c r="N45" s="45">
        <f>N$61*$D45</f>
        <v>33979.9928018715</v>
      </c>
      <c r="O45" s="45">
        <f>O$61*$D45</f>
        <v>82259.2585927659</v>
      </c>
      <c r="P45" s="45">
        <f>P$60*$E45</f>
        <v>171570.281124498</v>
      </c>
      <c r="Q45" s="45">
        <f>Q$60*$E45</f>
        <v>372978.872009778</v>
      </c>
      <c r="R45" s="45"/>
      <c r="S45" s="45" t="s">
        <v>243</v>
      </c>
      <c r="T45" s="44">
        <f>T$51*$C45</f>
        <v>11954.9461312439</v>
      </c>
      <c r="U45" s="45">
        <f>U$61*$D45</f>
        <v>45511.6645672125</v>
      </c>
      <c r="V45" s="45">
        <f>V$61*$D45</f>
        <v>117469.29638294</v>
      </c>
      <c r="W45" s="45">
        <f>W$60*$E45</f>
        <v>190219.224724987</v>
      </c>
      <c r="X45" s="45">
        <f>X$60*$E45</f>
        <v>372978.872009778</v>
      </c>
      <c r="Y45" s="45"/>
      <c r="Z45" s="45" t="s">
        <v>243</v>
      </c>
      <c r="AA45" s="44">
        <f>AA$51*$C45</f>
        <v>8368.46229187072</v>
      </c>
      <c r="AB45" s="45">
        <f>AB$61*$D45</f>
        <v>33979.9928018715</v>
      </c>
      <c r="AC45" s="45">
        <f>AC$61*$D45</f>
        <v>68536.5691920101</v>
      </c>
      <c r="AD45" s="45">
        <f>AD$60*$E45</f>
        <v>104434.084162738</v>
      </c>
      <c r="AE45" s="45">
        <f>AE$60*$E45</f>
        <v>186489.436004889</v>
      </c>
      <c r="AF45" s="45"/>
      <c r="AG45" s="45" t="s">
        <v>243</v>
      </c>
      <c r="AH45" s="44">
        <v>0</v>
      </c>
      <c r="AI45" s="45">
        <f>AI$61*$D45</f>
        <v>2306.3343530682</v>
      </c>
      <c r="AJ45" s="45">
        <f>AJ$61*$D45</f>
        <v>5381.44682382581</v>
      </c>
      <c r="AK45" s="45">
        <f>AK$60*$E45</f>
        <v>8205.53518421512</v>
      </c>
      <c r="AL45" s="45">
        <f>AL$60*$E45</f>
        <v>11189.3661602934</v>
      </c>
      <c r="AN45" s="45"/>
    </row>
    <row r="46" ht="12.75" customHeight="1" spans="1:40" x14ac:dyDescent="0.25">
      <c r="A46" s="18">
        <f>A47+1</f>
        <v>2008</v>
      </c>
      <c r="B46" s="142"/>
      <c r="C46" s="79">
        <f>'CPI-U &amp; C-CPI-U Calcs'!$L28</f>
        <v>1.14662095984329</v>
      </c>
      <c r="D46" s="79">
        <f>'CPI-U &amp; C-CPI-U Calcs'!$P28</f>
        <v>1.47469857836962</v>
      </c>
      <c r="E46" s="79">
        <f>'CPI-U &amp; C-CPI-U Calcs'!$O28</f>
        <v>1.43092369477912</v>
      </c>
      <c r="F46" s="44">
        <f>F$51*$C46</f>
        <v>16052.6934378061</v>
      </c>
      <c r="G46" s="45">
        <f>G$61*$D46</f>
        <v>65181.6771639374</v>
      </c>
      <c r="H46" s="45">
        <f>H$61*$D46</f>
        <v>131469.378261652</v>
      </c>
      <c r="I46" s="45">
        <f>I$60*$E46</f>
        <v>200329.317269076</v>
      </c>
      <c r="J46" s="45">
        <f>J$60*$E46</f>
        <v>357730.923694779</v>
      </c>
      <c r="K46" s="45"/>
      <c r="L46" s="45" t="s">
        <v>243</v>
      </c>
      <c r="M46" s="44">
        <f>M$51*$C46</f>
        <v>8026.34671890304</v>
      </c>
      <c r="N46" s="45">
        <f>N$61*$D46</f>
        <v>32590.8385819687</v>
      </c>
      <c r="O46" s="45">
        <f>O$61*$D46</f>
        <v>78896.3739427749</v>
      </c>
      <c r="P46" s="45">
        <f>P$60*$E46</f>
        <v>164556.224899598</v>
      </c>
      <c r="Q46" s="45">
        <f>Q$60*$E46</f>
        <v>357730.923694779</v>
      </c>
      <c r="R46" s="45"/>
      <c r="S46" s="45" t="s">
        <v>243</v>
      </c>
      <c r="T46" s="44">
        <f>T$51*$C46</f>
        <v>11466.2095984329</v>
      </c>
      <c r="U46" s="45">
        <f>U$61*$D46</f>
        <v>43651.0779197409</v>
      </c>
      <c r="V46" s="45">
        <f>V$61*$D46</f>
        <v>112666.971387439</v>
      </c>
      <c r="W46" s="45">
        <f>W$60*$E46</f>
        <v>182442.771084337</v>
      </c>
      <c r="X46" s="45">
        <f>X$60*$E46</f>
        <v>357730.923694779</v>
      </c>
      <c r="Y46" s="45"/>
      <c r="Z46" s="45" t="s">
        <v>243</v>
      </c>
      <c r="AA46" s="44">
        <f>AA$51*$C46</f>
        <v>8026.34671890304</v>
      </c>
      <c r="AB46" s="45">
        <f>AB$61*$D46</f>
        <v>32590.8385819687</v>
      </c>
      <c r="AC46" s="45">
        <f>AC$61*$D46</f>
        <v>65734.689130826</v>
      </c>
      <c r="AD46" s="45">
        <f>AD$60*$E46</f>
        <v>100164.658634538</v>
      </c>
      <c r="AE46" s="45">
        <f>AE$60*$E46</f>
        <v>178865.46184739</v>
      </c>
      <c r="AF46" s="45"/>
      <c r="AG46" s="45" t="s">
        <v>243</v>
      </c>
      <c r="AH46" s="44">
        <v>0</v>
      </c>
      <c r="AI46" s="45">
        <f>AI$61*$D46</f>
        <v>2212.04786755444</v>
      </c>
      <c r="AJ46" s="45">
        <f>AJ$61*$D46</f>
        <v>5161.44502429368</v>
      </c>
      <c r="AK46" s="45">
        <f>AK$60*$E46</f>
        <v>7870.08032128514</v>
      </c>
      <c r="AL46" s="45">
        <f>AL$60*$E46</f>
        <v>10731.9277108434</v>
      </c>
      <c r="AN46" s="45"/>
    </row>
    <row r="47" ht="12.75" customHeight="1" spans="1:40" x14ac:dyDescent="0.25">
      <c r="A47" s="18">
        <f>A48+1</f>
        <v>2007</v>
      </c>
      <c r="B47" s="142"/>
      <c r="C47" s="79">
        <f>'CPI-U &amp; C-CPI-U Calcs'!$L29</f>
        <v>1.12098316309874</v>
      </c>
      <c r="D47" s="79">
        <f>'CPI-U &amp; C-CPI-U Calcs'!$P29</f>
        <v>1.44172515146062</v>
      </c>
      <c r="E47" s="79">
        <f>'CPI-U &amp; C-CPI-U Calcs'!$O29</f>
        <v>1.39892904953146</v>
      </c>
      <c r="F47" s="44">
        <f>F$51*$C47</f>
        <v>15693.7642833823</v>
      </c>
      <c r="G47" s="45">
        <f>G$61*$D47</f>
        <v>63724.2516945594</v>
      </c>
      <c r="H47" s="45">
        <f>H$61*$D47</f>
        <v>128529.797252714</v>
      </c>
      <c r="I47" s="45">
        <f>I$60*$E47</f>
        <v>195850.066934404</v>
      </c>
      <c r="J47" s="45">
        <f>J$60*$E47</f>
        <v>349732.262382865</v>
      </c>
      <c r="K47" s="45"/>
      <c r="L47" s="45" t="s">
        <v>243</v>
      </c>
      <c r="M47" s="44">
        <f>M$51*$C47</f>
        <v>7846.88214169115</v>
      </c>
      <c r="N47" s="45">
        <f>N$61*$D47</f>
        <v>31862.1258472797</v>
      </c>
      <c r="O47" s="45">
        <f>O$61*$D47</f>
        <v>77132.2956031432</v>
      </c>
      <c r="P47" s="45">
        <f>P$60*$E47</f>
        <v>160876.840696118</v>
      </c>
      <c r="Q47" s="45">
        <f>Q$60*$E47</f>
        <v>349732.262382865</v>
      </c>
      <c r="R47" s="45"/>
      <c r="S47" s="45" t="s">
        <v>243</v>
      </c>
      <c r="T47" s="44">
        <f>T$51*$C47</f>
        <v>11209.8316309874</v>
      </c>
      <c r="U47" s="45">
        <f>U$61*$D47</f>
        <v>42675.0644832344</v>
      </c>
      <c r="V47" s="45">
        <f>V$61*$D47</f>
        <v>110147.801571591</v>
      </c>
      <c r="W47" s="45">
        <f>W$60*$E47</f>
        <v>178363.453815261</v>
      </c>
      <c r="X47" s="45">
        <f>X$60*$E47</f>
        <v>349732.262382865</v>
      </c>
      <c r="Y47" s="45"/>
      <c r="Z47" s="45" t="s">
        <v>243</v>
      </c>
      <c r="AA47" s="44">
        <f>AA$51*$C47</f>
        <v>7846.88214169115</v>
      </c>
      <c r="AB47" s="45">
        <f>AB$61*$D47</f>
        <v>31862.1258472797</v>
      </c>
      <c r="AC47" s="45">
        <f>AC$61*$D47</f>
        <v>64264.8986263571</v>
      </c>
      <c r="AD47" s="45">
        <f>AD$60*$E47</f>
        <v>97925.0334672021</v>
      </c>
      <c r="AE47" s="45">
        <f>AE$60*$E47</f>
        <v>174866.131191432</v>
      </c>
      <c r="AF47" s="45"/>
      <c r="AG47" s="45" t="s">
        <v>243</v>
      </c>
      <c r="AH47" s="44">
        <v>0</v>
      </c>
      <c r="AI47" s="45">
        <f>AI$61*$D47</f>
        <v>2162.58772719093</v>
      </c>
      <c r="AJ47" s="45">
        <f>AJ$61*$D47</f>
        <v>5046.03803011217</v>
      </c>
      <c r="AK47" s="45">
        <f>AK$60*$E47</f>
        <v>7694.10977242303</v>
      </c>
      <c r="AL47" s="45">
        <f>AL$60*$E47</f>
        <v>10491.9678714859</v>
      </c>
      <c r="AN47" s="45"/>
    </row>
    <row r="48" ht="12.75" customHeight="1" spans="1:40" x14ac:dyDescent="0.25">
      <c r="A48" s="18">
        <f>A49+1</f>
        <v>2006</v>
      </c>
      <c r="B48" s="142"/>
      <c r="C48" s="79">
        <f>'CPI-U &amp; C-CPI-U Calcs'!$L30</f>
        <v>1.07886759013106</v>
      </c>
      <c r="D48" s="79">
        <f>'CPI-U &amp; C-CPI-U Calcs'!$P30</f>
        <v>1.387559234599</v>
      </c>
      <c r="E48" s="79">
        <f>'CPI-U &amp; C-CPI-U Calcs'!$O30</f>
        <v>1.34637099121122</v>
      </c>
      <c r="F48" s="44">
        <f>F$51*$C48</f>
        <v>15104.1462618348</v>
      </c>
      <c r="G48" s="45">
        <f>G$61*$D48</f>
        <v>61330.118169276</v>
      </c>
      <c r="H48" s="45">
        <f>H$61*$D48</f>
        <v>123700.905764501</v>
      </c>
      <c r="I48" s="45">
        <f>I$60*$E48</f>
        <v>188491.938769571</v>
      </c>
      <c r="J48" s="45">
        <f>J$60*$E48</f>
        <v>336592.747802805</v>
      </c>
      <c r="K48" s="45"/>
      <c r="L48" s="45" t="s">
        <v>243</v>
      </c>
      <c r="M48" s="44">
        <f>M$51*$C48</f>
        <v>7552.0731309174</v>
      </c>
      <c r="N48" s="45">
        <f>N$61*$D48</f>
        <v>30665.059084638</v>
      </c>
      <c r="O48" s="45">
        <f>O$61*$D48</f>
        <v>74234.4190510467</v>
      </c>
      <c r="P48" s="45">
        <f>P$60*$E48</f>
        <v>154832.66398929</v>
      </c>
      <c r="Q48" s="45">
        <f>Q$60*$E48</f>
        <v>336592.747802805</v>
      </c>
      <c r="R48" s="45"/>
      <c r="S48" s="45" t="s">
        <v>243</v>
      </c>
      <c r="T48" s="44">
        <f>T$51*$C48</f>
        <v>10788.6759013106</v>
      </c>
      <c r="U48" s="45">
        <f>U$61*$D48</f>
        <v>41071.7533441305</v>
      </c>
      <c r="V48" s="45">
        <f>V$61*$D48</f>
        <v>106009.525523364</v>
      </c>
      <c r="W48" s="45">
        <f>W$60*$E48</f>
        <v>171662.301379431</v>
      </c>
      <c r="X48" s="45">
        <f>X$60*$E48</f>
        <v>336592.747802805</v>
      </c>
      <c r="Y48" s="45"/>
      <c r="Z48" s="45" t="s">
        <v>243</v>
      </c>
      <c r="AA48" s="44">
        <f>AA$51*$C48</f>
        <v>7552.0731309174</v>
      </c>
      <c r="AB48" s="45">
        <f>AB$61*$D48</f>
        <v>30665.059084638</v>
      </c>
      <c r="AC48" s="45">
        <f>AC$61*$D48</f>
        <v>61850.4528822506</v>
      </c>
      <c r="AD48" s="45">
        <f>AD$60*$E48</f>
        <v>94245.9693847855</v>
      </c>
      <c r="AE48" s="45">
        <f>AE$60*$E48</f>
        <v>168296.373901403</v>
      </c>
      <c r="AF48" s="45"/>
      <c r="AG48" s="45" t="s">
        <v>243</v>
      </c>
      <c r="AH48" s="44">
        <v>0</v>
      </c>
      <c r="AI48" s="45">
        <f>AI$61*$D48</f>
        <v>2081.33885189851</v>
      </c>
      <c r="AJ48" s="45">
        <f>AJ$61*$D48</f>
        <v>4856.45732109651</v>
      </c>
      <c r="AK48" s="45">
        <f>AK$60*$E48</f>
        <v>7405.04045166172</v>
      </c>
      <c r="AL48" s="45">
        <f>AL$60*$E48</f>
        <v>10097.7824340842</v>
      </c>
      <c r="AN48" s="45"/>
    </row>
    <row r="49" ht="12.75" customHeight="1" spans="1:40" x14ac:dyDescent="0.25">
      <c r="A49" s="18">
        <f>A50+1</f>
        <v>2005</v>
      </c>
      <c r="B49" s="142"/>
      <c r="C49" s="79">
        <f>'CPI-U &amp; C-CPI-U Calcs'!$L31</f>
        <v>1.04635977799543</v>
      </c>
      <c r="D49" s="79">
        <f>'CPI-U &amp; C-CPI-U Calcs'!$P31</f>
        <v>1.34575010497271</v>
      </c>
      <c r="E49" s="79">
        <f>'CPI-U &amp; C-CPI-U Calcs'!$O31</f>
        <v>1.30580292183226</v>
      </c>
      <c r="F49" s="44">
        <f>F$51*$C49</f>
        <v>14649.036891936</v>
      </c>
      <c r="G49" s="45">
        <f>G$61*$D49</f>
        <v>59482.1546397937</v>
      </c>
      <c r="H49" s="45">
        <f>H$61*$D49</f>
        <v>119973.621858317</v>
      </c>
      <c r="I49" s="45">
        <f>I$60*$E49</f>
        <v>182812.409056516</v>
      </c>
      <c r="J49" s="45">
        <f>J$60*$E49</f>
        <v>326450.730458064</v>
      </c>
      <c r="K49" s="45"/>
      <c r="L49" s="45" t="s">
        <v>243</v>
      </c>
      <c r="M49" s="44">
        <f>M$51*$C49</f>
        <v>7324.51844596801</v>
      </c>
      <c r="N49" s="45">
        <f>N$61*$D49</f>
        <v>29741.0773198968</v>
      </c>
      <c r="O49" s="45">
        <f>O$61*$D49</f>
        <v>71997.6306160398</v>
      </c>
      <c r="P49" s="45">
        <f>P$60*$E49</f>
        <v>150167.33601071</v>
      </c>
      <c r="Q49" s="45">
        <f>Q$60*$E49</f>
        <v>326450.730458064</v>
      </c>
      <c r="R49" s="45"/>
      <c r="S49" s="45" t="s">
        <v>243</v>
      </c>
      <c r="T49" s="44">
        <f>T$51*$C49</f>
        <v>10463.5977799543</v>
      </c>
      <c r="U49" s="45">
        <f>U$61*$D49</f>
        <v>39834.2031071921</v>
      </c>
      <c r="V49" s="45">
        <f>V$61*$D49</f>
        <v>102815.308019915</v>
      </c>
      <c r="W49" s="45">
        <f>W$60*$E49</f>
        <v>166489.872533613</v>
      </c>
      <c r="X49" s="45">
        <f>X$60*$E49</f>
        <v>326450.730458064</v>
      </c>
      <c r="Y49" s="45"/>
      <c r="Z49" s="45" t="s">
        <v>243</v>
      </c>
      <c r="AA49" s="44">
        <f>AA$51*$C49</f>
        <v>7324.51844596801</v>
      </c>
      <c r="AB49" s="45">
        <f>AB$61*$D49</f>
        <v>29741.0773198968</v>
      </c>
      <c r="AC49" s="45">
        <f>AC$61*$D49</f>
        <v>59986.8109291584</v>
      </c>
      <c r="AD49" s="45">
        <f>AD$60*$E49</f>
        <v>91406.204528258</v>
      </c>
      <c r="AE49" s="45">
        <f>AE$60*$E49</f>
        <v>163225.365229032</v>
      </c>
      <c r="AF49" s="45"/>
      <c r="AG49" s="45" t="s">
        <v>243</v>
      </c>
      <c r="AH49" s="44">
        <v>0</v>
      </c>
      <c r="AI49" s="45">
        <f>AI$61*$D49</f>
        <v>2018.62515745906</v>
      </c>
      <c r="AJ49" s="45">
        <f>AJ$61*$D49</f>
        <v>4710.12536740448</v>
      </c>
      <c r="AK49" s="45">
        <f>AK$60*$E49</f>
        <v>7181.91607007741</v>
      </c>
      <c r="AL49" s="45">
        <f>AL$60*$E49</f>
        <v>9793.52191374192</v>
      </c>
      <c r="AN49" s="45"/>
    </row>
    <row r="50" ht="12.75" customHeight="1" spans="1:40" x14ac:dyDescent="0.25">
      <c r="A50" s="18">
        <f>A51+1</f>
        <v>2004</v>
      </c>
      <c r="B50" s="142"/>
      <c r="C50" s="79">
        <f>'CPI-U &amp; C-CPI-U Calcs'!$L32</f>
        <v>1.0228067720722</v>
      </c>
      <c r="D50" s="79">
        <f>'CPI-U &amp; C-CPI-U Calcs'!$P32</f>
        <v>1.31545798092496</v>
      </c>
      <c r="E50" s="79">
        <f>'CPI-U &amp; C-CPI-U Calcs'!$O32</f>
        <v>1.2764099877772</v>
      </c>
      <c r="F50" s="44">
        <f>F$51*$C50</f>
        <v>14319.2948090108</v>
      </c>
      <c r="G50" s="45">
        <f>G$61*$D50</f>
        <v>58143.2427568832</v>
      </c>
      <c r="H50" s="45">
        <f>H$61*$D50</f>
        <v>117273.07899946</v>
      </c>
      <c r="I50" s="45">
        <f>I$60*$E50</f>
        <v>178697.398288807</v>
      </c>
      <c r="J50" s="45">
        <f>J$60*$E50</f>
        <v>319102.496944299</v>
      </c>
      <c r="K50" s="45"/>
      <c r="L50" s="45" t="s">
        <v>243</v>
      </c>
      <c r="M50" s="44">
        <f>M$51*$C50</f>
        <v>7159.64740450539</v>
      </c>
      <c r="N50" s="45">
        <f>N$61*$D50</f>
        <v>29071.6213784416</v>
      </c>
      <c r="O50" s="45">
        <f>O$61*$D50</f>
        <v>70377.0019794853</v>
      </c>
      <c r="P50" s="45">
        <f>P$60*$E50</f>
        <v>146787.148594378</v>
      </c>
      <c r="Q50" s="45">
        <f>Q$60*$E50</f>
        <v>319102.496944299</v>
      </c>
      <c r="R50" s="45"/>
      <c r="S50" s="45" t="s">
        <v>243</v>
      </c>
      <c r="T50" s="44">
        <f>T$51*$C50</f>
        <v>10228.067720722</v>
      </c>
      <c r="U50" s="45">
        <f>U$61*$D50</f>
        <v>38937.5562353788</v>
      </c>
      <c r="V50" s="45">
        <f>V$61*$D50</f>
        <v>100500.989742667</v>
      </c>
      <c r="W50" s="45">
        <f>W$60*$E50</f>
        <v>162742.273441592</v>
      </c>
      <c r="X50" s="45">
        <f>X$60*$E50</f>
        <v>319102.496944299</v>
      </c>
      <c r="Y50" s="45"/>
      <c r="Z50" s="45" t="s">
        <v>243</v>
      </c>
      <c r="AA50" s="44">
        <f>AA$51*$C50</f>
        <v>7159.64740450539</v>
      </c>
      <c r="AB50" s="45">
        <f>AB$61*$D50</f>
        <v>29071.6213784416</v>
      </c>
      <c r="AC50" s="45">
        <f>AC$61*$D50</f>
        <v>58636.5394997301</v>
      </c>
      <c r="AD50" s="45">
        <f>AD$60*$E50</f>
        <v>89348.6991444037</v>
      </c>
      <c r="AE50" s="45">
        <f>AE$60*$E50</f>
        <v>159551.248472149</v>
      </c>
      <c r="AF50" s="45"/>
      <c r="AG50" s="45" t="s">
        <v>243</v>
      </c>
      <c r="AH50" s="44">
        <v>0</v>
      </c>
      <c r="AI50" s="45">
        <f>AI$61*$D50</f>
        <v>1973.18697138744</v>
      </c>
      <c r="AJ50" s="45">
        <f>AJ$61*$D50</f>
        <v>4604.10293323736</v>
      </c>
      <c r="AK50" s="45">
        <f>AK$60*$E50</f>
        <v>7020.25493277458</v>
      </c>
      <c r="AL50" s="45">
        <f>AL$60*$E50</f>
        <v>9573.07490832897</v>
      </c>
      <c r="AN50" s="45"/>
    </row>
    <row r="51" ht="12.75" customHeight="1" spans="1:40" x14ac:dyDescent="0.25">
      <c r="A51" s="18">
        <f>A52+1</f>
        <v>2003</v>
      </c>
      <c r="B51" s="142"/>
      <c r="C51" s="86">
        <f>'CPI-U &amp; C-CPI-U Calcs'!$L33</f>
        <v>1</v>
      </c>
      <c r="D51" s="79">
        <f>'CPI-U &amp; C-CPI-U Calcs'!$P33</f>
        <v>1.28612560734209</v>
      </c>
      <c r="E51" s="79">
        <f>'CPI-U &amp; C-CPI-U Calcs'!$O33</f>
        <v>1.24794831499913</v>
      </c>
      <c r="F51" s="87">
        <v>14000</v>
      </c>
      <c r="G51" s="45">
        <f>G$61*$D51</f>
        <v>56846.7518445204</v>
      </c>
      <c r="H51" s="45">
        <f>H$61*$D51</f>
        <v>114658.097894547</v>
      </c>
      <c r="I51" s="45">
        <f>I$60*$E51</f>
        <v>174712.764099878</v>
      </c>
      <c r="J51" s="45">
        <f>J$60*$E51</f>
        <v>311987.078749782</v>
      </c>
      <c r="K51" s="45"/>
      <c r="L51" s="45" t="s">
        <v>243</v>
      </c>
      <c r="M51" s="87">
        <v>7000</v>
      </c>
      <c r="N51" s="45">
        <f>N$61*$D51</f>
        <v>28423.3759222602</v>
      </c>
      <c r="O51" s="45">
        <f>O$61*$D51</f>
        <v>68807.7199928019</v>
      </c>
      <c r="P51" s="45">
        <f>P$60*$E51</f>
        <v>143514.0562249</v>
      </c>
      <c r="Q51" s="45">
        <f>Q$60*$E51</f>
        <v>311987.078749782</v>
      </c>
      <c r="R51" s="45"/>
      <c r="S51" s="45" t="s">
        <v>243</v>
      </c>
      <c r="T51" s="87">
        <v>10000</v>
      </c>
      <c r="U51" s="45">
        <f>U$61*$D51</f>
        <v>38069.3179773259</v>
      </c>
      <c r="V51" s="45">
        <f>V$61*$D51</f>
        <v>98259.9964009357</v>
      </c>
      <c r="W51" s="45">
        <f>W$60*$E51</f>
        <v>159113.410162389</v>
      </c>
      <c r="X51" s="45">
        <f>X$60*$E51</f>
        <v>311987.078749782</v>
      </c>
      <c r="Y51" s="45"/>
      <c r="Z51" s="45" t="s">
        <v>243</v>
      </c>
      <c r="AA51" s="87">
        <v>7000</v>
      </c>
      <c r="AB51" s="45">
        <f>AB$61*$D51</f>
        <v>28423.3759222602</v>
      </c>
      <c r="AC51" s="45">
        <f>AC$61*$D51</f>
        <v>57329.0489472737</v>
      </c>
      <c r="AD51" s="45">
        <f>AD$60*$E51</f>
        <v>87356.3820499389</v>
      </c>
      <c r="AE51" s="45">
        <f>AE$60*$E51</f>
        <v>155993.539374891</v>
      </c>
      <c r="AF51" s="45"/>
      <c r="AG51" s="45" t="s">
        <v>243</v>
      </c>
      <c r="AH51" s="87">
        <v>0</v>
      </c>
      <c r="AI51" s="45">
        <f>AI$61*$D51</f>
        <v>1929.18841101314</v>
      </c>
      <c r="AJ51" s="45">
        <f>AJ$61*$D51</f>
        <v>4501.43962569732</v>
      </c>
      <c r="AK51" s="45">
        <f>AK$60*$E51</f>
        <v>6863.7157324952</v>
      </c>
      <c r="AL51" s="45">
        <f>AL$60*$E51</f>
        <v>9359.61236249345</v>
      </c>
      <c r="AN51" s="45"/>
    </row>
    <row r="52" ht="12.75" customHeight="1" spans="1:40" x14ac:dyDescent="0.25">
      <c r="A52" s="18">
        <f>A53+1</f>
        <v>2002</v>
      </c>
      <c r="B52" s="142"/>
      <c r="C52" s="107"/>
      <c r="D52" s="79">
        <f>'CPI-U &amp; C-CPI-U Calcs'!$P34</f>
        <v>1.26597084757963</v>
      </c>
      <c r="E52" s="79">
        <f>'CPI-U &amp; C-CPI-U Calcs'!$O34</f>
        <v>1.22839182818229</v>
      </c>
      <c r="F52" s="44"/>
      <c r="G52" s="45">
        <f>G$61*$D52</f>
        <v>55955.9114630196</v>
      </c>
      <c r="H52" s="45">
        <f>H$61*$D52</f>
        <v>112861.301061724</v>
      </c>
      <c r="I52" s="45">
        <f>I$60*$E52</f>
        <v>171974.855945521</v>
      </c>
      <c r="J52" s="45">
        <f>J$60*$E52</f>
        <v>307097.957045574</v>
      </c>
      <c r="K52" s="45"/>
      <c r="L52" s="45" t="s">
        <v>243</v>
      </c>
      <c r="M52" s="44"/>
      <c r="N52" s="45">
        <f>N$61*$D52</f>
        <v>27977.9557315098</v>
      </c>
      <c r="O52" s="45">
        <f>O$61*$D52</f>
        <v>67729.4403455102</v>
      </c>
      <c r="P52" s="45">
        <f>P$60*$E52</f>
        <v>141265.060240964</v>
      </c>
      <c r="Q52" s="45">
        <f>Q$60*$E52</f>
        <v>307097.957045574</v>
      </c>
      <c r="R52" s="45"/>
      <c r="S52" s="45" t="s">
        <v>243</v>
      </c>
      <c r="T52" s="44"/>
      <c r="U52" s="45">
        <f>U$61*$D52</f>
        <v>37472.737088357</v>
      </c>
      <c r="V52" s="45">
        <f>V$61*$D52</f>
        <v>96720.1727550837</v>
      </c>
      <c r="W52" s="45">
        <f>W$60*$E52</f>
        <v>156619.958093243</v>
      </c>
      <c r="X52" s="45">
        <f>X$60*$E52</f>
        <v>307097.957045574</v>
      </c>
      <c r="Y52" s="45"/>
      <c r="Z52" s="45" t="s">
        <v>243</v>
      </c>
      <c r="AA52" s="44"/>
      <c r="AB52" s="45">
        <f>AB$61*$D52</f>
        <v>27977.9557315098</v>
      </c>
      <c r="AC52" s="45">
        <f>AC$61*$D52</f>
        <v>56430.650530862</v>
      </c>
      <c r="AD52" s="45">
        <f>AD$60*$E52</f>
        <v>85987.4279727606</v>
      </c>
      <c r="AE52" s="45">
        <f>AE$60*$E52</f>
        <v>153548.978522787</v>
      </c>
      <c r="AF52" s="45"/>
      <c r="AG52" s="45" t="s">
        <v>243</v>
      </c>
      <c r="AH52" s="44"/>
      <c r="AI52" s="45">
        <f>AI$61*$D52</f>
        <v>1898.95627136944</v>
      </c>
      <c r="AJ52" s="45">
        <f>AJ$61*$D52</f>
        <v>4430.8979665287</v>
      </c>
      <c r="AK52" s="45">
        <f>AK$60*$E52</f>
        <v>6756.15505500262</v>
      </c>
      <c r="AL52" s="45">
        <f>AL$60*$E52</f>
        <v>9212.93871136721</v>
      </c>
      <c r="AN52" s="45"/>
    </row>
    <row r="53" ht="12.75" customHeight="1" spans="1:40" x14ac:dyDescent="0.25">
      <c r="A53" s="18">
        <f>A54+1</f>
        <v>2001</v>
      </c>
      <c r="B53" s="142"/>
      <c r="C53" s="18"/>
      <c r="D53" s="79">
        <f>'CPI-U &amp; C-CPI-U Calcs'!$P35</f>
        <v>1.22566132805471</v>
      </c>
      <c r="E53" s="79">
        <f>'CPI-U &amp; C-CPI-U Calcs'!$O35</f>
        <v>1.18927885454863</v>
      </c>
      <c r="F53" s="44"/>
      <c r="G53" s="45">
        <f>G$61*$D53</f>
        <v>54174.230700018</v>
      </c>
      <c r="H53" s="45">
        <f>H$61*$D53</f>
        <v>109267.707396077</v>
      </c>
      <c r="I53" s="45">
        <f>I$60*$E53</f>
        <v>166499.039636808</v>
      </c>
      <c r="J53" s="45">
        <f>J$60*$E53</f>
        <v>297319.713637157</v>
      </c>
      <c r="K53" s="45"/>
      <c r="L53" s="45" t="s">
        <v>243</v>
      </c>
      <c r="M53" s="44"/>
      <c r="N53" s="45">
        <f>N$61*$D53</f>
        <v>27087.115350009</v>
      </c>
      <c r="O53" s="45">
        <f>O$61*$D53</f>
        <v>65572.8810509268</v>
      </c>
      <c r="P53" s="45">
        <f>P$60*$E53</f>
        <v>136767.068273092</v>
      </c>
      <c r="Q53" s="45">
        <f>Q$60*$E53</f>
        <v>297319.713637157</v>
      </c>
      <c r="R53" s="45"/>
      <c r="S53" s="45" t="s">
        <v>243</v>
      </c>
      <c r="T53" s="44"/>
      <c r="U53" s="45">
        <f>U$61*$D53</f>
        <v>36279.5753104193</v>
      </c>
      <c r="V53" s="45">
        <f>V$61*$D53</f>
        <v>93640.5254633795</v>
      </c>
      <c r="W53" s="45">
        <f>W$60*$E53</f>
        <v>151633.05395495</v>
      </c>
      <c r="X53" s="45">
        <f>X$60*$E53</f>
        <v>297319.713637157</v>
      </c>
      <c r="Y53" s="45"/>
      <c r="Z53" s="45" t="s">
        <v>243</v>
      </c>
      <c r="AA53" s="44"/>
      <c r="AB53" s="45">
        <f>AB$61*$D53</f>
        <v>27087.115350009</v>
      </c>
      <c r="AC53" s="45">
        <f>AC$61*$D53</f>
        <v>54633.8536980385</v>
      </c>
      <c r="AD53" s="45">
        <f>AD$60*$E53</f>
        <v>83249.5198184041</v>
      </c>
      <c r="AE53" s="45">
        <f>AE$60*$E53</f>
        <v>148659.856818579</v>
      </c>
      <c r="AF53" s="45"/>
      <c r="AG53" s="45" t="s">
        <v>243</v>
      </c>
      <c r="AH53" s="44"/>
      <c r="AI53" s="45">
        <f>AI$61*$D53</f>
        <v>1838.49199208206</v>
      </c>
      <c r="AJ53" s="45">
        <f>AJ$61*$D53</f>
        <v>4289.81464819147</v>
      </c>
      <c r="AK53" s="45">
        <f>AK$60*$E53</f>
        <v>6541.03370001746</v>
      </c>
      <c r="AL53" s="45">
        <f>AL$60*$E53</f>
        <v>8919.59140911472</v>
      </c>
      <c r="AN53" s="45"/>
    </row>
    <row r="54" ht="12" customHeight="1" spans="1:40" x14ac:dyDescent="0.25">
      <c r="A54" s="18">
        <f>A55+1</f>
        <v>2000</v>
      </c>
      <c r="B54" s="142"/>
      <c r="C54" s="18"/>
      <c r="D54" s="79">
        <f>'CPI-U &amp; C-CPI-U Calcs'!$P36</f>
        <v>1.18871093515686</v>
      </c>
      <c r="E54" s="79">
        <f>'CPI-U &amp; C-CPI-U Calcs'!$O36</f>
        <v>1.15342529538444</v>
      </c>
      <c r="F54" s="44"/>
      <c r="G54" s="45">
        <f>G$61*$D54</f>
        <v>52541.0233339332</v>
      </c>
      <c r="H54" s="45">
        <f>H$61*$D54</f>
        <v>105973.579869234</v>
      </c>
      <c r="I54" s="45">
        <f>I$60*$E54</f>
        <v>161479.541353821</v>
      </c>
      <c r="J54" s="45">
        <f>J$60*$E54</f>
        <v>288356.323846109</v>
      </c>
      <c r="K54" s="45"/>
      <c r="L54" s="45" t="s">
        <v>243</v>
      </c>
      <c r="M54" s="44"/>
      <c r="N54" s="45">
        <f>N$61*$D54</f>
        <v>26270.5116669666</v>
      </c>
      <c r="O54" s="45">
        <f>O$61*$D54</f>
        <v>63596.035030892</v>
      </c>
      <c r="P54" s="45">
        <f>P$60*$E54</f>
        <v>132643.90896921</v>
      </c>
      <c r="Q54" s="45">
        <f>Q$60*$E54</f>
        <v>288356.323846109</v>
      </c>
      <c r="R54" s="45"/>
      <c r="S54" s="45" t="s">
        <v>243</v>
      </c>
      <c r="T54" s="44"/>
      <c r="U54" s="45">
        <f>U$61*$D54</f>
        <v>35185.843680643</v>
      </c>
      <c r="V54" s="45">
        <f>V$61*$D54</f>
        <v>90817.515445984</v>
      </c>
      <c r="W54" s="45">
        <f>W$60*$E54</f>
        <v>147061.725161516</v>
      </c>
      <c r="X54" s="45">
        <f>X$60*$E54</f>
        <v>288356.323846109</v>
      </c>
      <c r="Y54" s="45"/>
      <c r="Z54" s="45" t="s">
        <v>243</v>
      </c>
      <c r="AA54" s="44"/>
      <c r="AB54" s="45">
        <f>AB$61*$D54</f>
        <v>26270.5116669666</v>
      </c>
      <c r="AC54" s="45">
        <f>AC$61*$D54</f>
        <v>52986.789934617</v>
      </c>
      <c r="AD54" s="45">
        <f>AD$60*$E54</f>
        <v>80739.7706769106</v>
      </c>
      <c r="AE54" s="45">
        <f>AE$60*$E54</f>
        <v>144178.161923055</v>
      </c>
      <c r="AF54" s="45"/>
      <c r="AG54" s="45" t="s">
        <v>243</v>
      </c>
      <c r="AH54" s="44"/>
      <c r="AI54" s="45">
        <f>AI$61*$D54</f>
        <v>1783.06640273529</v>
      </c>
      <c r="AJ54" s="45">
        <f>AJ$61*$D54</f>
        <v>4160.48827304901</v>
      </c>
      <c r="AK54" s="45">
        <f>AK$60*$E54</f>
        <v>6343.8391246144</v>
      </c>
      <c r="AL54" s="45">
        <f>AL$60*$E54</f>
        <v>8650.68971538327</v>
      </c>
      <c r="AN54" s="45"/>
    </row>
    <row r="55" ht="12.75" customHeight="1" spans="1:40" x14ac:dyDescent="0.25">
      <c r="A55" s="18">
        <f>A56+1</f>
        <v>1999</v>
      </c>
      <c r="B55" s="142"/>
      <c r="C55" s="18"/>
      <c r="D55" s="79">
        <f>'CPI-U &amp; C-CPI-U Calcs'!$P37</f>
        <v>1.16741647171735</v>
      </c>
      <c r="E55" s="79">
        <f>'CPI-U &amp; C-CPI-U Calcs'!$O37</f>
        <v>1.13276293580118</v>
      </c>
      <c r="F55" s="44"/>
      <c r="G55" s="45">
        <f>G$61*$D55</f>
        <v>51599.808049907</v>
      </c>
      <c r="H55" s="45">
        <f>H$61*$D55</f>
        <v>104075.178453602</v>
      </c>
      <c r="I55" s="45">
        <f>I$60*$E55</f>
        <v>158586.811012165</v>
      </c>
      <c r="J55" s="45">
        <f>J$60*$E55</f>
        <v>283190.733950294</v>
      </c>
      <c r="K55" s="45"/>
      <c r="L55" s="45" t="s">
        <v>243</v>
      </c>
      <c r="M55" s="44"/>
      <c r="N55" s="45">
        <f>N$61*$D55</f>
        <v>25799.9040249535</v>
      </c>
      <c r="O55" s="45">
        <f>O$61*$D55</f>
        <v>62456.7812368784</v>
      </c>
      <c r="P55" s="45">
        <f>P$60*$E55</f>
        <v>130267.737617135</v>
      </c>
      <c r="Q55" s="45">
        <f>Q$60*$E55</f>
        <v>283190.733950294</v>
      </c>
      <c r="R55" s="45"/>
      <c r="S55" s="45" t="s">
        <v>243</v>
      </c>
      <c r="T55" s="44"/>
      <c r="U55" s="45">
        <f>U$61*$D55</f>
        <v>34555.5275628337</v>
      </c>
      <c r="V55" s="45">
        <f>V$61*$D55</f>
        <v>89190.6184392058</v>
      </c>
      <c r="W55" s="45">
        <f>W$60*$E55</f>
        <v>144427.27431465</v>
      </c>
      <c r="X55" s="45">
        <f>X$60*$E55</f>
        <v>283190.733950294</v>
      </c>
      <c r="Y55" s="45"/>
      <c r="Z55" s="45" t="s">
        <v>243</v>
      </c>
      <c r="AA55" s="44"/>
      <c r="AB55" s="45">
        <f>AB$61*$D55</f>
        <v>25799.9040249535</v>
      </c>
      <c r="AC55" s="45">
        <f>AC$61*$D55</f>
        <v>52037.589226801</v>
      </c>
      <c r="AD55" s="45">
        <f>AD$60*$E55</f>
        <v>79293.4055060823</v>
      </c>
      <c r="AE55" s="45">
        <f>AE$60*$E55</f>
        <v>141595.366975147</v>
      </c>
      <c r="AF55" s="45"/>
      <c r="AG55" s="45" t="s">
        <v>243</v>
      </c>
      <c r="AH55" s="44"/>
      <c r="AI55" s="45">
        <f>AI$61*$D55</f>
        <v>1751.12470757603</v>
      </c>
      <c r="AJ55" s="45">
        <f>AJ$61*$D55</f>
        <v>4085.95765101074</v>
      </c>
      <c r="AK55" s="45">
        <f>AK$60*$E55</f>
        <v>6230.19614690647</v>
      </c>
      <c r="AL55" s="45">
        <f>AL$60*$E55</f>
        <v>8495.72201850882</v>
      </c>
      <c r="AN55" s="45"/>
    </row>
    <row r="56" ht="12.75" customHeight="1" spans="1:40" x14ac:dyDescent="0.25">
      <c r="A56" s="18">
        <f>A57+1</f>
        <v>1998</v>
      </c>
      <c r="B56" s="142"/>
      <c r="C56" s="18"/>
      <c r="D56" s="79">
        <f>'CPI-U &amp; C-CPI-U Calcs'!$P38</f>
        <v>1.14804150920761</v>
      </c>
      <c r="E56" s="79">
        <f>'CPI-U &amp; C-CPI-U Calcs'!$O38</f>
        <v>1.1139630987719</v>
      </c>
      <c r="F56" s="44"/>
      <c r="G56" s="45">
        <f>G$61*$D56</f>
        <v>50743.4347069762</v>
      </c>
      <c r="H56" s="45">
        <f>H$61*$D56</f>
        <v>102347.900545858</v>
      </c>
      <c r="I56" s="45">
        <f>I$60*$E56</f>
        <v>155954.833828066</v>
      </c>
      <c r="J56" s="45">
        <f>J$60*$E56</f>
        <v>278490.774692975</v>
      </c>
      <c r="K56" s="45"/>
      <c r="L56" s="45" t="s">
        <v>243</v>
      </c>
      <c r="M56" s="44"/>
      <c r="N56" s="45">
        <f>N$61*$D56</f>
        <v>25371.7173534881</v>
      </c>
      <c r="O56" s="45">
        <f>O$61*$D56</f>
        <v>61420.2207426069</v>
      </c>
      <c r="P56" s="45">
        <f>P$60*$E56</f>
        <v>128105.756358768</v>
      </c>
      <c r="Q56" s="45">
        <f>Q$60*$E56</f>
        <v>278490.774692975</v>
      </c>
      <c r="R56" s="45"/>
      <c r="S56" s="45" t="s">
        <v>243</v>
      </c>
      <c r="T56" s="44"/>
      <c r="U56" s="45">
        <f>U$61*$D56</f>
        <v>33982.0286725451</v>
      </c>
      <c r="V56" s="45">
        <f>V$61*$D56</f>
        <v>87710.3713034611</v>
      </c>
      <c r="W56" s="45">
        <f>W$60*$E56</f>
        <v>142030.295093417</v>
      </c>
      <c r="X56" s="45">
        <f>X$60*$E56</f>
        <v>278490.774692975</v>
      </c>
      <c r="Y56" s="45"/>
      <c r="Z56" s="45" t="s">
        <v>243</v>
      </c>
      <c r="AA56" s="44"/>
      <c r="AB56" s="45">
        <f>AB$61*$D56</f>
        <v>25371.7173534881</v>
      </c>
      <c r="AC56" s="45">
        <f>AC$61*$D56</f>
        <v>51173.950272929</v>
      </c>
      <c r="AD56" s="45">
        <f>AD$60*$E56</f>
        <v>77977.416914033</v>
      </c>
      <c r="AE56" s="45">
        <f>AE$60*$E56</f>
        <v>139245.387346487</v>
      </c>
      <c r="AF56" s="45"/>
      <c r="AG56" s="45" t="s">
        <v>243</v>
      </c>
      <c r="AH56" s="44"/>
      <c r="AI56" s="45">
        <f>AI$61*$D56</f>
        <v>1722.06226381141</v>
      </c>
      <c r="AJ56" s="45">
        <f>AJ$61*$D56</f>
        <v>4018.14528222662</v>
      </c>
      <c r="AK56" s="45">
        <f>AK$60*$E56</f>
        <v>6126.79704324545</v>
      </c>
      <c r="AL56" s="45">
        <f>AL$60*$E56</f>
        <v>8354.72324078924</v>
      </c>
      <c r="AN56" s="45"/>
    </row>
    <row r="57" ht="12.75" customHeight="1" spans="1:40" x14ac:dyDescent="0.25">
      <c r="A57" s="18">
        <f>A58+1</f>
        <v>1997</v>
      </c>
      <c r="B57" s="142"/>
      <c r="C57" s="18"/>
      <c r="D57" s="79">
        <f>'CPI-U &amp; C-CPI-U Calcs'!$P39</f>
        <v>1.11744946313958</v>
      </c>
      <c r="E57" s="79">
        <f>'CPI-U &amp; C-CPI-U Calcs'!$O39</f>
        <v>1.08427914556778</v>
      </c>
      <c r="F57" s="44"/>
      <c r="G57" s="45">
        <f>G$61*$D57</f>
        <v>49391.2662707696</v>
      </c>
      <c r="H57" s="45">
        <f>H$61*$D57</f>
        <v>99620.6196388939</v>
      </c>
      <c r="I57" s="45">
        <f>I$60*$E57</f>
        <v>151799.080379489</v>
      </c>
      <c r="J57" s="45">
        <f>J$60*$E57</f>
        <v>271069.786391945</v>
      </c>
      <c r="K57" s="45"/>
      <c r="L57" s="45" t="s">
        <v>243</v>
      </c>
      <c r="M57" s="44"/>
      <c r="N57" s="45">
        <f>N$61*$D57</f>
        <v>24695.6331353848</v>
      </c>
      <c r="O57" s="45">
        <f>O$61*$D57</f>
        <v>59783.5462779677</v>
      </c>
      <c r="P57" s="45">
        <f>P$60*$E57</f>
        <v>124692.101740295</v>
      </c>
      <c r="Q57" s="45">
        <f>Q$60*$E57</f>
        <v>271069.786391945</v>
      </c>
      <c r="R57" s="45"/>
      <c r="S57" s="45" t="s">
        <v>243</v>
      </c>
      <c r="T57" s="44"/>
      <c r="U57" s="45">
        <f>U$61*$D57</f>
        <v>33076.5041089317</v>
      </c>
      <c r="V57" s="45">
        <f>V$61*$D57</f>
        <v>85373.1389838642</v>
      </c>
      <c r="W57" s="45">
        <f>W$60*$E57</f>
        <v>138245.591059892</v>
      </c>
      <c r="X57" s="45">
        <f>X$60*$E57</f>
        <v>271069.786391945</v>
      </c>
      <c r="Y57" s="45"/>
      <c r="Z57" s="45" t="s">
        <v>243</v>
      </c>
      <c r="AA57" s="44"/>
      <c r="AB57" s="45">
        <f>AB$61*$D57</f>
        <v>24695.6331353848</v>
      </c>
      <c r="AC57" s="45">
        <f>AC$61*$D57</f>
        <v>49810.3098194469</v>
      </c>
      <c r="AD57" s="45">
        <f>AD$60*$E57</f>
        <v>75899.5401897445</v>
      </c>
      <c r="AE57" s="45">
        <f>AE$60*$E57</f>
        <v>135534.893195972</v>
      </c>
      <c r="AF57" s="45"/>
      <c r="AG57" s="45" t="s">
        <v>243</v>
      </c>
      <c r="AH57" s="44"/>
      <c r="AI57" s="45">
        <f>AI$61*$D57</f>
        <v>1676.17419470938</v>
      </c>
      <c r="AJ57" s="45">
        <f>AJ$61*$D57</f>
        <v>3911.07312098854</v>
      </c>
      <c r="AK57" s="45">
        <f>AK$60*$E57</f>
        <v>5963.53530062278</v>
      </c>
      <c r="AL57" s="45">
        <f>AL$60*$E57</f>
        <v>8132.09359175834</v>
      </c>
      <c r="AN57" s="45"/>
    </row>
    <row r="58" ht="12.75" customHeight="1" spans="1:40" x14ac:dyDescent="0.25">
      <c r="A58" s="18">
        <f>A59+1</f>
        <v>1996</v>
      </c>
      <c r="B58" s="142"/>
      <c r="C58" s="18"/>
      <c r="D58" s="79">
        <f>'CPI-U &amp; C-CPI-U Calcs'!$P40</f>
        <v>1.08745726111211</v>
      </c>
      <c r="E58" s="79">
        <f>'CPI-U &amp; C-CPI-U Calcs'!$O40</f>
        <v>1.05517723066178</v>
      </c>
      <c r="F58" s="44"/>
      <c r="G58" s="45">
        <f>G$61*$D58</f>
        <v>48065.6109411553</v>
      </c>
      <c r="H58" s="45">
        <f>H$61*$D58</f>
        <v>96946.8148281447</v>
      </c>
      <c r="I58" s="45">
        <f>I$60*$E58</f>
        <v>147724.812292649</v>
      </c>
      <c r="J58" s="45">
        <f>J$60*$E58</f>
        <v>263794.307665444</v>
      </c>
      <c r="K58" s="45"/>
      <c r="L58" s="45" t="s">
        <v>243</v>
      </c>
      <c r="M58" s="44"/>
      <c r="N58" s="45">
        <f>N$61*$D58</f>
        <v>24032.8054705777</v>
      </c>
      <c r="O58" s="45">
        <f>O$61*$D58</f>
        <v>58178.9634694979</v>
      </c>
      <c r="P58" s="45">
        <f>P$60*$E58</f>
        <v>121345.381526104</v>
      </c>
      <c r="Q58" s="45">
        <f>Q$60*$E58</f>
        <v>263794.307665444</v>
      </c>
      <c r="R58" s="45"/>
      <c r="S58" s="45" t="s">
        <v>243</v>
      </c>
      <c r="T58" s="44"/>
      <c r="U58" s="45">
        <f>U$61*$D58</f>
        <v>32188.7349289185</v>
      </c>
      <c r="V58" s="45">
        <f>V$61*$D58</f>
        <v>83081.7347489653</v>
      </c>
      <c r="W58" s="45">
        <f>W$60*$E58</f>
        <v>134535.096909377</v>
      </c>
      <c r="X58" s="45">
        <f>X$60*$E58</f>
        <v>263794.307665444</v>
      </c>
      <c r="Y58" s="45"/>
      <c r="Z58" s="45" t="s">
        <v>243</v>
      </c>
      <c r="AA58" s="44"/>
      <c r="AB58" s="45">
        <f>AB$61*$D58</f>
        <v>24032.8054705777</v>
      </c>
      <c r="AC58" s="45">
        <f>AC$61*$D58</f>
        <v>48473.4074140723</v>
      </c>
      <c r="AD58" s="45">
        <f>AD$60*$E58</f>
        <v>73862.4061463244</v>
      </c>
      <c r="AE58" s="45">
        <f>AE$60*$E58</f>
        <v>131897.153832722</v>
      </c>
      <c r="AF58" s="45"/>
      <c r="AG58" s="45" t="s">
        <v>243</v>
      </c>
      <c r="AH58" s="44"/>
      <c r="AI58" s="45">
        <f>AI$61*$D58</f>
        <v>1631.18589166817</v>
      </c>
      <c r="AJ58" s="45">
        <f>AJ$61*$D58</f>
        <v>3806.10041389239</v>
      </c>
      <c r="AK58" s="45">
        <f>AK$60*$E58</f>
        <v>5803.47476863978</v>
      </c>
      <c r="AL58" s="45">
        <f>AL$60*$E58</f>
        <v>7913.82922996333</v>
      </c>
      <c r="AN58" s="45"/>
    </row>
    <row r="59" ht="12.75" customHeight="1" spans="1:40" x14ac:dyDescent="0.25">
      <c r="A59" s="18">
        <f>A60+1</f>
        <v>1995</v>
      </c>
      <c r="B59" s="142"/>
      <c r="C59" s="18"/>
      <c r="D59" s="79">
        <f>'CPI-U &amp; C-CPI-U Calcs'!$P41</f>
        <v>1.05740507468058</v>
      </c>
      <c r="E59" s="79">
        <f>'CPI-U &amp; C-CPI-U Calcs'!$O41</f>
        <v>1.02601711192597</v>
      </c>
      <c r="F59" s="44"/>
      <c r="G59" s="45">
        <f>G$61*$D59</f>
        <v>46737.3043008818</v>
      </c>
      <c r="H59" s="45">
        <f>H$61*$D59</f>
        <v>94267.662407774</v>
      </c>
      <c r="I59" s="45">
        <f>I$60*$E59</f>
        <v>143642.395669635</v>
      </c>
      <c r="J59" s="45">
        <f>J$60*$E59</f>
        <v>256504.277981491</v>
      </c>
      <c r="K59" s="45"/>
      <c r="L59" s="45" t="s">
        <v>243</v>
      </c>
      <c r="M59" s="44"/>
      <c r="N59" s="45">
        <f>N$61*$D59</f>
        <v>23368.6521504409</v>
      </c>
      <c r="O59" s="45">
        <f>O$61*$D59</f>
        <v>56571.1714954112</v>
      </c>
      <c r="P59" s="45">
        <f>P$60*$E59</f>
        <v>117991.967871486</v>
      </c>
      <c r="Q59" s="45">
        <f>Q$60*$E59</f>
        <v>256504.277981491</v>
      </c>
      <c r="R59" s="45"/>
      <c r="S59" s="45" t="s">
        <v>243</v>
      </c>
      <c r="T59" s="44"/>
      <c r="U59" s="45">
        <f>U$61*$D59</f>
        <v>31299.1902105453</v>
      </c>
      <c r="V59" s="45">
        <f>V$61*$D59</f>
        <v>80785.7477055966</v>
      </c>
      <c r="W59" s="45">
        <f>W$60*$E59</f>
        <v>130817.181770561</v>
      </c>
      <c r="X59" s="45">
        <f>X$60*$E59</f>
        <v>256504.277981491</v>
      </c>
      <c r="Y59" s="45"/>
      <c r="Z59" s="45" t="s">
        <v>243</v>
      </c>
      <c r="AA59" s="44"/>
      <c r="AB59" s="45">
        <f>AB$61*$D59</f>
        <v>23368.6521504409</v>
      </c>
      <c r="AC59" s="45">
        <f>AC$61*$D59</f>
        <v>47133.831203887</v>
      </c>
      <c r="AD59" s="45">
        <f>AD$60*$E59</f>
        <v>71821.1978348176</v>
      </c>
      <c r="AE59" s="45">
        <f>AE$60*$E59</f>
        <v>128252.138990746</v>
      </c>
      <c r="AF59" s="45"/>
      <c r="AG59" s="45" t="s">
        <v>243</v>
      </c>
      <c r="AH59" s="44"/>
      <c r="AI59" s="45">
        <f>AI$61*$D59</f>
        <v>1586.10761202087</v>
      </c>
      <c r="AJ59" s="45">
        <f>AJ$61*$D59</f>
        <v>3700.91776138204</v>
      </c>
      <c r="AK59" s="45">
        <f>AK$60*$E59</f>
        <v>5643.09411559281</v>
      </c>
      <c r="AL59" s="45">
        <f>AL$60*$E59</f>
        <v>7695.12833944474</v>
      </c>
      <c r="AN59" s="45"/>
    </row>
    <row r="60" ht="12.75" customHeight="1" spans="1:40" x14ac:dyDescent="0.25">
      <c r="A60" s="18">
        <f>A61+1</f>
        <v>1994</v>
      </c>
      <c r="B60" s="142"/>
      <c r="C60" s="18"/>
      <c r="D60" s="79">
        <f>'CPI-U &amp; C-CPI-U Calcs'!$P42</f>
        <v>1.03059204606802</v>
      </c>
      <c r="E60" s="86">
        <f>'CPI-U &amp; C-CPI-U Calcs'!$O42</f>
        <v>1</v>
      </c>
      <c r="F60" s="44"/>
      <c r="G60" s="45">
        <f>G$61*$D60</f>
        <v>45552.1684362066</v>
      </c>
      <c r="H60" s="45">
        <f>H$61*$D60</f>
        <v>91877.2809069642</v>
      </c>
      <c r="I60" s="88">
        <v>140000</v>
      </c>
      <c r="J60" s="88">
        <v>250000</v>
      </c>
      <c r="K60" s="88"/>
      <c r="L60" s="45" t="s">
        <v>243</v>
      </c>
      <c r="M60" s="44"/>
      <c r="N60" s="45">
        <f>N$61*$D60</f>
        <v>22776.0842181033</v>
      </c>
      <c r="O60" s="45">
        <f>O$61*$D60</f>
        <v>55136.6744646392</v>
      </c>
      <c r="P60" s="88">
        <v>115000</v>
      </c>
      <c r="Q60" s="88">
        <v>250000</v>
      </c>
      <c r="R60" s="88"/>
      <c r="S60" s="88" t="s">
        <v>243</v>
      </c>
      <c r="T60" s="44"/>
      <c r="U60" s="45">
        <f>U$61*$D60</f>
        <v>30505.5245636135</v>
      </c>
      <c r="V60" s="45">
        <f>V$61*$D60</f>
        <v>78737.2323195969</v>
      </c>
      <c r="W60" s="88">
        <v>127500</v>
      </c>
      <c r="X60" s="88">
        <v>250000</v>
      </c>
      <c r="Y60" s="88"/>
      <c r="Z60" s="88" t="s">
        <v>243</v>
      </c>
      <c r="AA60" s="44"/>
      <c r="AB60" s="45">
        <f>AB$61*$D60</f>
        <v>22776.0842181033</v>
      </c>
      <c r="AC60" s="45">
        <f>AC$61*$D60</f>
        <v>45938.6404534821</v>
      </c>
      <c r="AD60" s="88">
        <v>70000</v>
      </c>
      <c r="AE60" s="88">
        <v>125000</v>
      </c>
      <c r="AF60" s="88"/>
      <c r="AG60" s="88" t="s">
        <v>243</v>
      </c>
      <c r="AH60" s="44"/>
      <c r="AI60" s="45">
        <f>AI$61*$D60</f>
        <v>1545.88806910203</v>
      </c>
      <c r="AJ60" s="45">
        <f>AJ$61*$D60</f>
        <v>3607.07216123808</v>
      </c>
      <c r="AK60" s="88">
        <v>5500</v>
      </c>
      <c r="AL60" s="88">
        <v>7500</v>
      </c>
      <c r="AN60" s="88"/>
    </row>
    <row r="61" ht="12.75" customHeight="1" spans="1:39" x14ac:dyDescent="0.25">
      <c r="A61" s="18">
        <v>1993</v>
      </c>
      <c r="B61" s="142"/>
      <c r="C61" s="18"/>
      <c r="D61" s="86">
        <f>'CPI-U &amp; C-CPI-U Calcs'!$P43</f>
        <v>1</v>
      </c>
      <c r="E61" s="79"/>
      <c r="F61" s="87"/>
      <c r="G61" s="88">
        <v>44200</v>
      </c>
      <c r="H61" s="88">
        <v>89150</v>
      </c>
      <c r="I61" s="90"/>
      <c r="J61" s="89"/>
      <c r="K61" s="89"/>
      <c r="L61" s="89"/>
      <c r="M61" s="87"/>
      <c r="N61" s="88">
        <v>22100</v>
      </c>
      <c r="O61" s="88">
        <v>53500</v>
      </c>
      <c r="P61" s="90"/>
      <c r="Q61" s="89"/>
      <c r="R61" s="89"/>
      <c r="S61" s="89"/>
      <c r="T61" s="87"/>
      <c r="U61" s="88">
        <v>29600</v>
      </c>
      <c r="V61" s="88">
        <v>76400</v>
      </c>
      <c r="W61" s="90"/>
      <c r="X61" s="89"/>
      <c r="Y61" s="89"/>
      <c r="Z61" s="89"/>
      <c r="AA61" s="87"/>
      <c r="AB61" s="88">
        <v>22100</v>
      </c>
      <c r="AC61" s="88">
        <v>44575</v>
      </c>
      <c r="AD61" s="90"/>
      <c r="AE61" s="89"/>
      <c r="AF61" s="89"/>
      <c r="AG61" s="89"/>
      <c r="AH61" s="87"/>
      <c r="AI61" s="88">
        <v>1500</v>
      </c>
      <c r="AJ61" s="88">
        <v>3500</v>
      </c>
      <c r="AK61" s="90"/>
      <c r="AL61" s="89"/>
      <c r="AM61" s="89"/>
    </row>
    <row r="62" ht="12.75" customHeight="1" spans="1:39" x14ac:dyDescent="0.25">
      <c r="A62" s="18"/>
      <c r="B62" s="18"/>
      <c r="C62" s="18"/>
      <c r="D62" s="107"/>
      <c r="E62" s="79"/>
      <c r="F62" s="45" t="s">
        <v>256</v>
      </c>
      <c r="G62" s="88"/>
      <c r="H62" s="88"/>
      <c r="I62" s="90"/>
      <c r="J62" s="89"/>
      <c r="K62" s="89"/>
      <c r="L62" s="89"/>
      <c r="M62" s="88"/>
      <c r="N62" s="88"/>
      <c r="O62" s="88"/>
      <c r="P62" s="90"/>
      <c r="Q62" s="89"/>
      <c r="R62" s="89"/>
      <c r="S62" s="89"/>
      <c r="T62" s="89"/>
      <c r="U62" s="88"/>
      <c r="V62" s="88"/>
      <c r="W62" s="90"/>
      <c r="X62" s="89"/>
      <c r="Y62" s="89"/>
      <c r="Z62" s="89"/>
      <c r="AA62" s="16" t="s">
        <v>245</v>
      </c>
      <c r="AB62" s="88"/>
      <c r="AC62" s="88"/>
      <c r="AD62" s="90"/>
      <c r="AE62" s="89"/>
      <c r="AF62" s="89"/>
      <c r="AG62" s="89"/>
      <c r="AH62" s="89"/>
      <c r="AI62" s="88"/>
      <c r="AJ62" s="88"/>
      <c r="AK62" s="90"/>
      <c r="AL62" s="89"/>
      <c r="AM62" s="89"/>
    </row>
    <row r="63" ht="12.75" customHeight="1" spans="1:39" x14ac:dyDescent="0.25">
      <c r="A63" s="18"/>
      <c r="B63" s="18"/>
      <c r="C63" s="18"/>
      <c r="D63" s="107"/>
      <c r="E63" s="79"/>
      <c r="F63" s="45" t="s">
        <v>257</v>
      </c>
      <c r="G63" s="88"/>
      <c r="H63" s="88"/>
      <c r="I63" s="90"/>
      <c r="J63" s="89"/>
      <c r="K63" s="89"/>
      <c r="L63" s="89"/>
      <c r="M63" s="88"/>
      <c r="N63" s="88"/>
      <c r="O63" s="88"/>
      <c r="P63" s="90"/>
      <c r="Q63" s="89"/>
      <c r="R63" s="89"/>
      <c r="S63" s="89"/>
      <c r="T63" s="89"/>
      <c r="U63" s="88"/>
      <c r="V63" s="88"/>
      <c r="W63" s="90"/>
      <c r="X63" s="89"/>
      <c r="Y63" s="89"/>
      <c r="Z63" s="89"/>
      <c r="AA63" s="89"/>
      <c r="AB63" s="88"/>
      <c r="AC63" s="88"/>
      <c r="AD63" s="90"/>
      <c r="AE63" s="89"/>
      <c r="AF63" s="89"/>
      <c r="AG63" s="89"/>
      <c r="AH63" s="89"/>
      <c r="AI63" s="88"/>
      <c r="AJ63" s="88"/>
      <c r="AK63" s="90"/>
      <c r="AL63" s="89"/>
      <c r="AM63" s="89"/>
    </row>
    <row r="64" ht="12.75" customHeight="1" spans="1:15" x14ac:dyDescent="0.25">
      <c r="A64" s="18"/>
      <c r="B64" s="18"/>
      <c r="C64" s="18"/>
      <c r="D64" s="135"/>
      <c r="E64" s="135"/>
      <c r="F64" s="135"/>
      <c r="G64" s="135"/>
      <c r="H64" s="90"/>
      <c r="I64" s="90"/>
      <c r="J64" s="89"/>
      <c r="K64" s="89"/>
      <c r="L64" s="89"/>
      <c r="M64" s="89"/>
      <c r="N64" s="89"/>
      <c r="O64" s="89"/>
    </row>
    <row r="65" ht="24.75" customHeight="1" spans="1:15" x14ac:dyDescent="0.25">
      <c r="A65" s="91" t="s">
        <v>258</v>
      </c>
      <c r="B65" s="91"/>
      <c r="C65" s="91"/>
      <c r="D65" s="135"/>
      <c r="E65" s="135"/>
      <c r="F65" s="135"/>
      <c r="G65" s="135"/>
      <c r="H65" s="90"/>
      <c r="I65" s="90"/>
      <c r="J65" s="89"/>
      <c r="K65" s="89"/>
      <c r="L65" s="89"/>
      <c r="M65" s="89"/>
      <c r="N65" s="89"/>
      <c r="O65" s="89"/>
    </row>
    <row r="66" ht="15.75" customHeight="1" spans="1:39" x14ac:dyDescent="0.25">
      <c r="A66" s="91"/>
      <c r="B66" s="91"/>
      <c r="C66" s="91"/>
      <c r="F66" s="71" t="s">
        <v>27</v>
      </c>
      <c r="G66" s="22"/>
      <c r="H66" s="135"/>
      <c r="I66" s="135"/>
      <c r="J66" s="90"/>
      <c r="K66" s="90"/>
      <c r="L66" s="90"/>
      <c r="M66" s="71" t="s">
        <v>36</v>
      </c>
      <c r="N66" s="22"/>
      <c r="O66" s="135"/>
      <c r="P66" s="135"/>
      <c r="Q66" s="90"/>
      <c r="R66" s="90"/>
      <c r="S66" s="90"/>
      <c r="T66" s="71" t="s">
        <v>37</v>
      </c>
      <c r="V66" s="135"/>
      <c r="W66" s="135"/>
      <c r="X66" s="90"/>
      <c r="Y66" s="90"/>
      <c r="Z66" s="90"/>
      <c r="AA66" s="71" t="s">
        <v>38</v>
      </c>
      <c r="AC66" s="135"/>
      <c r="AD66" s="135"/>
      <c r="AE66" s="90"/>
      <c r="AF66" s="90"/>
      <c r="AG66" s="90"/>
      <c r="AH66" s="71" t="s">
        <v>39</v>
      </c>
      <c r="AJ66" s="135"/>
      <c r="AK66" s="135"/>
      <c r="AL66" s="90"/>
      <c r="AM66" s="90"/>
    </row>
    <row r="67" ht="30" customHeight="1" spans="1:40" x14ac:dyDescent="0.25">
      <c r="A67" s="24" t="s">
        <v>6</v>
      </c>
      <c r="B67" s="24"/>
      <c r="C67" s="24"/>
      <c r="D67" s="24"/>
      <c r="E67" s="24"/>
      <c r="F67" s="136" t="s">
        <v>236</v>
      </c>
      <c r="G67" s="137" t="s">
        <v>251</v>
      </c>
      <c r="H67" s="137" t="s">
        <v>252</v>
      </c>
      <c r="I67" s="137" t="s">
        <v>253</v>
      </c>
      <c r="J67" s="137" t="s">
        <v>254</v>
      </c>
      <c r="K67" s="137" t="s">
        <v>241</v>
      </c>
      <c r="L67" s="137" t="s">
        <v>255</v>
      </c>
      <c r="M67" s="136" t="s">
        <v>236</v>
      </c>
      <c r="N67" s="137" t="s">
        <v>251</v>
      </c>
      <c r="O67" s="137" t="s">
        <v>252</v>
      </c>
      <c r="P67" s="137" t="s">
        <v>253</v>
      </c>
      <c r="Q67" s="137" t="s">
        <v>254</v>
      </c>
      <c r="R67" s="137" t="s">
        <v>241</v>
      </c>
      <c r="S67" s="137" t="s">
        <v>255</v>
      </c>
      <c r="T67" s="136" t="s">
        <v>236</v>
      </c>
      <c r="U67" s="137" t="s">
        <v>251</v>
      </c>
      <c r="V67" s="137" t="s">
        <v>252</v>
      </c>
      <c r="W67" s="137" t="s">
        <v>253</v>
      </c>
      <c r="X67" s="137" t="s">
        <v>254</v>
      </c>
      <c r="Y67" s="137" t="s">
        <v>241</v>
      </c>
      <c r="Z67" s="137" t="s">
        <v>255</v>
      </c>
      <c r="AA67" s="136" t="s">
        <v>236</v>
      </c>
      <c r="AB67" s="137" t="s">
        <v>251</v>
      </c>
      <c r="AC67" s="137" t="s">
        <v>252</v>
      </c>
      <c r="AD67" s="137" t="s">
        <v>253</v>
      </c>
      <c r="AE67" s="137" t="s">
        <v>254</v>
      </c>
      <c r="AF67" s="137" t="s">
        <v>241</v>
      </c>
      <c r="AG67" s="137" t="s">
        <v>255</v>
      </c>
      <c r="AH67" s="136" t="s">
        <v>236</v>
      </c>
      <c r="AI67" s="137" t="s">
        <v>251</v>
      </c>
      <c r="AJ67" s="137" t="s">
        <v>252</v>
      </c>
      <c r="AK67" s="137" t="s">
        <v>253</v>
      </c>
      <c r="AL67" s="137" t="s">
        <v>254</v>
      </c>
      <c r="AM67" s="137" t="s">
        <v>241</v>
      </c>
      <c r="AN67" s="137" t="s">
        <v>255</v>
      </c>
    </row>
    <row r="68" ht="13.5" customHeight="1" spans="1:40" x14ac:dyDescent="0.25">
      <c r="A68" s="27">
        <f>A69+1</f>
        <v>2022</v>
      </c>
      <c r="B68" s="27"/>
      <c r="C68" s="27"/>
      <c r="D68" s="77"/>
      <c r="E68" s="77"/>
      <c r="F68" s="41">
        <f>TRUNC(F32/50)*50</f>
        <v>20500</v>
      </c>
      <c r="G68" s="42">
        <f>TRUNC(G32/100)*100</f>
        <v>83200</v>
      </c>
      <c r="H68" s="42">
        <f>TRUNC(H32/50)*50</f>
        <v>167900</v>
      </c>
      <c r="I68" s="42">
        <f>TRUNC(I32/50)*50</f>
        <v>255850</v>
      </c>
      <c r="J68" s="42">
        <f>TRUNC(J32/50)*50</f>
        <v>456850</v>
      </c>
      <c r="K68" s="42">
        <f>TRUNC(K32/50)*50</f>
        <v>516050</v>
      </c>
      <c r="L68" s="42" t="s">
        <v>243</v>
      </c>
      <c r="M68" s="41">
        <f>TRUNC(M32/25)*25</f>
        <v>10250</v>
      </c>
      <c r="N68" s="42">
        <f>TRUNC(N32/50)*50</f>
        <v>41600</v>
      </c>
      <c r="O68" s="42">
        <f>TRUNC(O32/50)*50</f>
        <v>100750</v>
      </c>
      <c r="P68" s="42">
        <f>TRUNC(P32/50)*50</f>
        <v>210150</v>
      </c>
      <c r="Q68" s="42">
        <f>TRUNC(Q32/50)*50</f>
        <v>456850</v>
      </c>
      <c r="R68" s="42">
        <f>TRUNC(R32/50)*50</f>
        <v>458700</v>
      </c>
      <c r="S68" s="42" t="s">
        <v>243</v>
      </c>
      <c r="T68" s="41">
        <f>TRUNC(T32/50)*50</f>
        <v>14600</v>
      </c>
      <c r="U68" s="42">
        <f>TRUNC(U32/50)*50</f>
        <v>55750</v>
      </c>
      <c r="V68" s="42">
        <f>TRUNC(V32/50)*50</f>
        <v>143850</v>
      </c>
      <c r="W68" s="42">
        <f>TRUNC(W32/50)*50</f>
        <v>233000</v>
      </c>
      <c r="X68" s="42">
        <f>TRUNC(X32/50)*50</f>
        <v>456850</v>
      </c>
      <c r="Y68" s="42">
        <f>TRUNC(Y32/50)*50</f>
        <v>487400</v>
      </c>
      <c r="Z68" s="42" t="s">
        <v>243</v>
      </c>
      <c r="AA68" s="41">
        <f>TRUNC(AA32/25)*25</f>
        <v>10250</v>
      </c>
      <c r="AB68" s="42">
        <f>TRUNC(AB32/50)*50</f>
        <v>41600</v>
      </c>
      <c r="AC68" s="42">
        <f>TRUNC(AC32/25)*25</f>
        <v>83950</v>
      </c>
      <c r="AD68" s="42">
        <f>TRUNC(AD32/25)*25</f>
        <v>127925</v>
      </c>
      <c r="AE68" s="42">
        <f>TRUNC(AE32/25)*25</f>
        <v>228425</v>
      </c>
      <c r="AF68" s="42">
        <f>TRUNC(AF32/25)*25</f>
        <v>258025</v>
      </c>
      <c r="AG68" s="42" t="s">
        <v>243</v>
      </c>
      <c r="AH68" s="41">
        <f>TRUNC(AH32/50)*50</f>
        <v>0</v>
      </c>
      <c r="AI68" s="42">
        <f>TRUNC(AI32/50)*50</f>
        <v>2800</v>
      </c>
      <c r="AJ68" s="42">
        <f>TRUNC(AJ32/50)*50</f>
        <v>6550</v>
      </c>
      <c r="AK68" s="42">
        <f>TRUNC(AK32/50)*50</f>
        <v>10050</v>
      </c>
      <c r="AL68" s="42">
        <f>TRUNC(AL32/50)*50</f>
        <v>13700</v>
      </c>
      <c r="AM68" s="42" t="str">
        <f>AM32</f>
        <v>unused</v>
      </c>
      <c r="AN68" s="42" t="str">
        <f>AN32</f>
        <v>excess</v>
      </c>
    </row>
    <row r="69" ht="12.75" customHeight="1" spans="1:40" s="73" customFormat="1" x14ac:dyDescent="0.25">
      <c r="A69" s="47">
        <f>A70+1</f>
        <v>2021</v>
      </c>
      <c r="B69" s="47"/>
      <c r="C69" s="47"/>
      <c r="D69" s="78"/>
      <c r="E69" s="78"/>
      <c r="F69" s="48">
        <f>TRUNC(F33/50)*50</f>
        <v>19900</v>
      </c>
      <c r="G69" s="49">
        <f>TRUNC(G33/100)*100</f>
        <v>80800</v>
      </c>
      <c r="H69" s="49">
        <f>TRUNC(H33/50)*50</f>
        <v>163000</v>
      </c>
      <c r="I69" s="49">
        <f>TRUNC(I33/50)*50</f>
        <v>248400</v>
      </c>
      <c r="J69" s="49">
        <f>TRUNC(J33/50)*50</f>
        <v>443550</v>
      </c>
      <c r="K69" s="49">
        <f>TRUNC(K33/50)*50</f>
        <v>501050</v>
      </c>
      <c r="L69" s="49" t="s">
        <v>243</v>
      </c>
      <c r="M69" s="48">
        <f>TRUNC(M33/25)*25</f>
        <v>9950</v>
      </c>
      <c r="N69" s="49">
        <f>TRUNC(N33/50)*50</f>
        <v>40400</v>
      </c>
      <c r="O69" s="49">
        <f>TRUNC(O33/50)*50</f>
        <v>97800</v>
      </c>
      <c r="P69" s="49">
        <f>TRUNC(P33/50)*50</f>
        <v>204000</v>
      </c>
      <c r="Q69" s="49">
        <f>TRUNC(Q33/50)*50</f>
        <v>443550</v>
      </c>
      <c r="R69" s="49">
        <f>TRUNC(R33/50)*50</f>
        <v>445350</v>
      </c>
      <c r="S69" s="49" t="s">
        <v>243</v>
      </c>
      <c r="T69" s="48">
        <f>TRUNC(T33/50)*50</f>
        <v>14200</v>
      </c>
      <c r="U69" s="49">
        <f>TRUNC(U33/50)*50</f>
        <v>54100</v>
      </c>
      <c r="V69" s="49">
        <f>TRUNC(V33/50)*50</f>
        <v>139700</v>
      </c>
      <c r="W69" s="49">
        <f>TRUNC(W33/50)*50</f>
        <v>226200</v>
      </c>
      <c r="X69" s="49">
        <f>TRUNC(X33/50)*50</f>
        <v>443550</v>
      </c>
      <c r="Y69" s="49">
        <f>TRUNC(Y33/50)*50</f>
        <v>473200</v>
      </c>
      <c r="Z69" s="49" t="s">
        <v>243</v>
      </c>
      <c r="AA69" s="48">
        <f>TRUNC(AA33/25)*25</f>
        <v>9950</v>
      </c>
      <c r="AB69" s="49">
        <f>TRUNC(AB33/50)*50</f>
        <v>40400</v>
      </c>
      <c r="AC69" s="49">
        <f>TRUNC(AC33/25)*25</f>
        <v>81500</v>
      </c>
      <c r="AD69" s="49">
        <f>TRUNC(AD33/25)*25</f>
        <v>124200</v>
      </c>
      <c r="AE69" s="49">
        <f>TRUNC(AE33/25)*25</f>
        <v>221775</v>
      </c>
      <c r="AF69" s="49">
        <f>TRUNC(AF33/25)*25</f>
        <v>250525</v>
      </c>
      <c r="AG69" s="49" t="s">
        <v>243</v>
      </c>
      <c r="AH69" s="48">
        <f>TRUNC(AH33/50)*50</f>
        <v>0</v>
      </c>
      <c r="AI69" s="49">
        <f>TRUNC(AI33/50)*50</f>
        <v>2700</v>
      </c>
      <c r="AJ69" s="49">
        <f>TRUNC(AJ33/50)*50</f>
        <v>6400</v>
      </c>
      <c r="AK69" s="49">
        <f>TRUNC(AK33/50)*50</f>
        <v>9750</v>
      </c>
      <c r="AL69" s="49">
        <f>TRUNC(AL33/50)*50</f>
        <v>13300</v>
      </c>
      <c r="AM69" s="49" t="str">
        <f>AM33</f>
        <v>unused</v>
      </c>
      <c r="AN69" s="49" t="str">
        <f>AN33</f>
        <v>excess</v>
      </c>
    </row>
    <row r="70" ht="12.75" customHeight="1" spans="1:40" s="73" customFormat="1" x14ac:dyDescent="0.25">
      <c r="A70" s="47">
        <f>A71+1</f>
        <v>2020</v>
      </c>
      <c r="B70" s="47"/>
      <c r="C70" s="47"/>
      <c r="D70" s="78"/>
      <c r="E70" s="78"/>
      <c r="F70" s="48">
        <f>TRUNC(F34/50)*50</f>
        <v>19650</v>
      </c>
      <c r="G70" s="49">
        <f>TRUNC(G34/100)*100</f>
        <v>79900</v>
      </c>
      <c r="H70" s="49">
        <f>TRUNC(H34/50)*50</f>
        <v>161200</v>
      </c>
      <c r="I70" s="49">
        <f>TRUNC(I34/50)*50</f>
        <v>245650</v>
      </c>
      <c r="J70" s="49">
        <f>TRUNC(J34/50)*50</f>
        <v>438700</v>
      </c>
      <c r="K70" s="49">
        <f>TRUNC(K34/50)*50</f>
        <v>495550</v>
      </c>
      <c r="L70" s="49" t="s">
        <v>243</v>
      </c>
      <c r="M70" s="48">
        <f>TRUNC(M34/25)*25</f>
        <v>9825</v>
      </c>
      <c r="N70" s="49">
        <f>TRUNC(N34/50)*50</f>
        <v>39950</v>
      </c>
      <c r="O70" s="49">
        <f>TRUNC(O34/50)*50</f>
        <v>96750</v>
      </c>
      <c r="P70" s="49">
        <f>TRUNC(P34/50)*50</f>
        <v>201800</v>
      </c>
      <c r="Q70" s="49">
        <f>TRUNC(Q34/50)*50</f>
        <v>438700</v>
      </c>
      <c r="R70" s="49">
        <f>TRUNC(R34/50)*50</f>
        <v>440500</v>
      </c>
      <c r="S70" s="49" t="s">
        <v>243</v>
      </c>
      <c r="T70" s="48">
        <f>TRUNC(T34/50)*50</f>
        <v>14050</v>
      </c>
      <c r="U70" s="49">
        <f>TRUNC(U34/50)*50</f>
        <v>53500</v>
      </c>
      <c r="V70" s="49">
        <f>TRUNC(V34/50)*50</f>
        <v>138150</v>
      </c>
      <c r="W70" s="49">
        <f>TRUNC(W34/50)*50</f>
        <v>223750</v>
      </c>
      <c r="X70" s="49">
        <f>TRUNC(X34/50)*50</f>
        <v>438700</v>
      </c>
      <c r="Y70" s="49">
        <f>TRUNC(Y34/50)*50</f>
        <v>468000</v>
      </c>
      <c r="Z70" s="49" t="s">
        <v>243</v>
      </c>
      <c r="AA70" s="48">
        <f>TRUNC(AA34/25)*25</f>
        <v>9825</v>
      </c>
      <c r="AB70" s="49">
        <f>TRUNC(AB34/50)*50</f>
        <v>39950</v>
      </c>
      <c r="AC70" s="49">
        <f>TRUNC(AC34/25)*25</f>
        <v>80600</v>
      </c>
      <c r="AD70" s="49">
        <f>TRUNC(AD34/25)*25</f>
        <v>122825</v>
      </c>
      <c r="AE70" s="49">
        <f>TRUNC(AE34/25)*25</f>
        <v>219350</v>
      </c>
      <c r="AF70" s="49">
        <f>TRUNC(AF34/25)*25</f>
        <v>247775</v>
      </c>
      <c r="AG70" s="49" t="s">
        <v>243</v>
      </c>
      <c r="AH70" s="48">
        <f>TRUNC(AH34/50)*50</f>
        <v>0</v>
      </c>
      <c r="AI70" s="49">
        <f>TRUNC(AI34/50)*50</f>
        <v>2700</v>
      </c>
      <c r="AJ70" s="49">
        <f>TRUNC(AJ34/50)*50</f>
        <v>6300</v>
      </c>
      <c r="AK70" s="49">
        <f>TRUNC(AK34/50)*50</f>
        <v>9650</v>
      </c>
      <c r="AL70" s="49">
        <f>TRUNC(AL34/50)*50</f>
        <v>13150</v>
      </c>
      <c r="AM70" s="49" t="str">
        <f>AM34</f>
        <v>unused</v>
      </c>
      <c r="AN70" s="49" t="str">
        <f>AN34</f>
        <v>excess</v>
      </c>
    </row>
    <row r="71" ht="12.75" customHeight="1" spans="1:40" x14ac:dyDescent="0.25">
      <c r="A71" s="47">
        <f>A72+1</f>
        <v>2019</v>
      </c>
      <c r="B71" s="47"/>
      <c r="C71" s="47"/>
      <c r="D71" s="78"/>
      <c r="E71" s="78"/>
      <c r="F71" s="48">
        <f>TRUNC(F35/50)*50</f>
        <v>19350</v>
      </c>
      <c r="G71" s="49">
        <f>TRUNC(G35/100)*100</f>
        <v>78700</v>
      </c>
      <c r="H71" s="49">
        <f>TRUNC(H35/50)*50</f>
        <v>158750</v>
      </c>
      <c r="I71" s="49">
        <f>TRUNC(I35/50)*50</f>
        <v>241900</v>
      </c>
      <c r="J71" s="49">
        <f>TRUNC(J35/50)*50</f>
        <v>432000</v>
      </c>
      <c r="K71" s="49">
        <f>TRUNC(K35/50)*50</f>
        <v>488000</v>
      </c>
      <c r="L71" s="49" t="s">
        <v>243</v>
      </c>
      <c r="M71" s="48">
        <f>TRUNC(M35/25)*25</f>
        <v>9675</v>
      </c>
      <c r="N71" s="49">
        <f>TRUNC(N35/50)*50</f>
        <v>39350</v>
      </c>
      <c r="O71" s="49">
        <f>TRUNC(O35/50)*50</f>
        <v>95250</v>
      </c>
      <c r="P71" s="49">
        <f>TRUNC(P35/50)*50</f>
        <v>198700</v>
      </c>
      <c r="Q71" s="49">
        <f>TRUNC(Q35/50)*50</f>
        <v>432000</v>
      </c>
      <c r="R71" s="49">
        <f>TRUNC(R35/50)*50</f>
        <v>433750</v>
      </c>
      <c r="S71" s="49" t="s">
        <v>243</v>
      </c>
      <c r="T71" s="48">
        <f>TRUNC(T35/50)*50</f>
        <v>13800</v>
      </c>
      <c r="U71" s="49">
        <f>TRUNC(U35/50)*50</f>
        <v>52700</v>
      </c>
      <c r="V71" s="49">
        <f>TRUNC(V35/50)*50</f>
        <v>136050</v>
      </c>
      <c r="W71" s="49">
        <f>TRUNC(W35/50)*50</f>
        <v>220300</v>
      </c>
      <c r="X71" s="49">
        <f>TRUNC(X35/50)*50</f>
        <v>432000</v>
      </c>
      <c r="Y71" s="49">
        <f>TRUNC(Y35/50)*50</f>
        <v>460900</v>
      </c>
      <c r="Z71" s="49" t="s">
        <v>243</v>
      </c>
      <c r="AA71" s="48">
        <f>TRUNC(AA35/25)*25</f>
        <v>9675</v>
      </c>
      <c r="AB71" s="49">
        <f>TRUNC(AB35/50)*50</f>
        <v>39350</v>
      </c>
      <c r="AC71" s="49">
        <f>TRUNC(AC35/25)*25</f>
        <v>79375</v>
      </c>
      <c r="AD71" s="49">
        <f>TRUNC(AD35/25)*25</f>
        <v>120950</v>
      </c>
      <c r="AE71" s="49">
        <f>TRUNC(AE35/25)*25</f>
        <v>216000</v>
      </c>
      <c r="AF71" s="49">
        <f>TRUNC(AF35/25)*25</f>
        <v>244000</v>
      </c>
      <c r="AG71" s="49" t="s">
        <v>243</v>
      </c>
      <c r="AH71" s="48">
        <f>TRUNC(AH35/50)*50</f>
        <v>0</v>
      </c>
      <c r="AI71" s="49">
        <f>TRUNC(AI35/50)*50</f>
        <v>2650</v>
      </c>
      <c r="AJ71" s="49">
        <f>TRUNC(AJ35/50)*50</f>
        <v>6200</v>
      </c>
      <c r="AK71" s="49">
        <f>TRUNC(AK35/50)*50</f>
        <v>9500</v>
      </c>
      <c r="AL71" s="49">
        <f>TRUNC(AL35/50)*50</f>
        <v>12950</v>
      </c>
      <c r="AM71" s="49" t="str">
        <f>AM35</f>
        <v>unused</v>
      </c>
      <c r="AN71" s="49" t="str">
        <f>AN35</f>
        <v>excess</v>
      </c>
    </row>
    <row r="72" ht="12.75" customHeight="1" spans="1:40" s="73" customFormat="1" x14ac:dyDescent="0.25">
      <c r="A72" s="47">
        <f>A73+1</f>
        <v>2018</v>
      </c>
      <c r="B72" s="47"/>
      <c r="C72" s="47"/>
      <c r="D72" s="78"/>
      <c r="E72" s="78"/>
      <c r="F72" s="48">
        <f>TRUNC(F36/50)*50</f>
        <v>19000</v>
      </c>
      <c r="G72" s="49">
        <f>TRUNC(G36/100)*100</f>
        <v>77100</v>
      </c>
      <c r="H72" s="49">
        <f>TRUNC(H36/50)*50</f>
        <v>155650</v>
      </c>
      <c r="I72" s="49">
        <f>TRUNC(I36/50)*50</f>
        <v>237200</v>
      </c>
      <c r="J72" s="49">
        <f>TRUNC(J36/50)*50</f>
        <v>423550</v>
      </c>
      <c r="K72" s="49">
        <f>TRUNC(K36/50)*50</f>
        <v>478450</v>
      </c>
      <c r="L72" s="49" t="s">
        <v>243</v>
      </c>
      <c r="M72" s="48">
        <f>TRUNC(M36/25)*25</f>
        <v>9500</v>
      </c>
      <c r="N72" s="49">
        <f>TRUNC(N36/50)*50</f>
        <v>38550</v>
      </c>
      <c r="O72" s="49">
        <f>TRUNC(O36/50)*50</f>
        <v>93400</v>
      </c>
      <c r="P72" s="49">
        <f>TRUNC(P36/50)*50</f>
        <v>194800</v>
      </c>
      <c r="Q72" s="49">
        <f>TRUNC(Q36/50)*50</f>
        <v>423550</v>
      </c>
      <c r="R72" s="49">
        <f>TRUNC(R36/50)*50</f>
        <v>425300</v>
      </c>
      <c r="S72" s="49" t="s">
        <v>243</v>
      </c>
      <c r="T72" s="48">
        <f>TRUNC(T36/50)*50</f>
        <v>13550</v>
      </c>
      <c r="U72" s="49">
        <f>TRUNC(U36/50)*50</f>
        <v>51650</v>
      </c>
      <c r="V72" s="49">
        <f>TRUNC(V36/50)*50</f>
        <v>133400</v>
      </c>
      <c r="W72" s="49">
        <f>TRUNC(W36/50)*50</f>
        <v>216000</v>
      </c>
      <c r="X72" s="49">
        <f>TRUNC(X36/50)*50</f>
        <v>423550</v>
      </c>
      <c r="Y72" s="49">
        <f>TRUNC(Y36/50)*50</f>
        <v>451850</v>
      </c>
      <c r="Z72" s="49" t="s">
        <v>243</v>
      </c>
      <c r="AA72" s="48">
        <f>TRUNC(AA36/25)*25</f>
        <v>9500</v>
      </c>
      <c r="AB72" s="49">
        <f>TRUNC(AB36/50)*50</f>
        <v>38550</v>
      </c>
      <c r="AC72" s="49">
        <f>TRUNC(AC36/25)*25</f>
        <v>77825</v>
      </c>
      <c r="AD72" s="49">
        <f>TRUNC(AD36/25)*25</f>
        <v>118600</v>
      </c>
      <c r="AE72" s="49">
        <f>TRUNC(AE36/25)*25</f>
        <v>211775</v>
      </c>
      <c r="AF72" s="49">
        <f>TRUNC(AF36/25)*25</f>
        <v>239225</v>
      </c>
      <c r="AG72" s="49" t="s">
        <v>243</v>
      </c>
      <c r="AH72" s="48">
        <f>TRUNC(AH36/50)*50</f>
        <v>0</v>
      </c>
      <c r="AI72" s="49">
        <f>TRUNC(AI36/50)*50</f>
        <v>2600</v>
      </c>
      <c r="AJ72" s="49">
        <f>TRUNC(AJ36/50)*50</f>
        <v>6100</v>
      </c>
      <c r="AK72" s="49">
        <f>TRUNC(AK36/50)*50</f>
        <v>9300</v>
      </c>
      <c r="AL72" s="49">
        <f>TRUNC(AL36/50)*50</f>
        <v>12700</v>
      </c>
      <c r="AM72" s="49" t="str">
        <f>AM36</f>
        <v>unused</v>
      </c>
      <c r="AN72" s="49" t="str">
        <f>AN36</f>
        <v>excess</v>
      </c>
    </row>
    <row r="73" ht="12.75" customHeight="1" spans="1:40" x14ac:dyDescent="0.25">
      <c r="A73" s="18">
        <f>A74+1</f>
        <v>2017</v>
      </c>
      <c r="B73" s="27"/>
      <c r="C73" s="27"/>
      <c r="D73" s="77"/>
      <c r="E73" s="77"/>
      <c r="F73" s="44">
        <f>TRUNC(F37/50)*50</f>
        <v>18650</v>
      </c>
      <c r="G73" s="45">
        <f>TRUNC(G37/100)*100</f>
        <v>75900</v>
      </c>
      <c r="H73" s="45">
        <f>TRUNC(H37/50)*50</f>
        <v>153100</v>
      </c>
      <c r="I73" s="45">
        <f>TRUNC(I37/50)*50</f>
        <v>233350</v>
      </c>
      <c r="J73" s="45">
        <f>TRUNC(J37/50)*50</f>
        <v>416700</v>
      </c>
      <c r="K73" s="45">
        <f>TRUNC(K37/50)*50</f>
        <v>470700</v>
      </c>
      <c r="L73" s="45" t="s">
        <v>243</v>
      </c>
      <c r="M73" s="44">
        <f>TRUNC(M37/25)*25</f>
        <v>9325</v>
      </c>
      <c r="N73" s="45">
        <f>TRUNC(N37/50)*50</f>
        <v>37950</v>
      </c>
      <c r="O73" s="45">
        <f>TRUNC(O37/50)*50</f>
        <v>91900</v>
      </c>
      <c r="P73" s="45">
        <f>TRUNC(P37/50)*50</f>
        <v>191650</v>
      </c>
      <c r="Q73" s="45">
        <f>TRUNC(Q37/50)*50</f>
        <v>416700</v>
      </c>
      <c r="R73" s="45">
        <f>TRUNC(R37/50)*50</f>
        <v>418400</v>
      </c>
      <c r="S73" s="45" t="s">
        <v>243</v>
      </c>
      <c r="T73" s="44">
        <f>TRUNC(T37/50)*50</f>
        <v>13350</v>
      </c>
      <c r="U73" s="45">
        <f>TRUNC(U37/50)*50</f>
        <v>50800</v>
      </c>
      <c r="V73" s="45">
        <f>TRUNC(V37/50)*50</f>
        <v>131200</v>
      </c>
      <c r="W73" s="45">
        <f>TRUNC(W37/50)*50</f>
        <v>212500</v>
      </c>
      <c r="X73" s="45">
        <f>TRUNC(X37/50)*50</f>
        <v>416700</v>
      </c>
      <c r="Y73" s="45">
        <f>TRUNC(Y37/50)*50</f>
        <v>444550</v>
      </c>
      <c r="Z73" s="45" t="s">
        <v>243</v>
      </c>
      <c r="AA73" s="44">
        <f>TRUNC(AA37/25)*25</f>
        <v>9325</v>
      </c>
      <c r="AB73" s="45">
        <f>TRUNC(AB37/50)*50</f>
        <v>37950</v>
      </c>
      <c r="AC73" s="45">
        <f>TRUNC(AC37/25)*25</f>
        <v>76550</v>
      </c>
      <c r="AD73" s="45">
        <f>TRUNC(AD37/25)*25</f>
        <v>116675</v>
      </c>
      <c r="AE73" s="45">
        <f>TRUNC(AE37/25)*25</f>
        <v>208350</v>
      </c>
      <c r="AF73" s="45">
        <f>TRUNC(AF37/25)*25</f>
        <v>235350</v>
      </c>
      <c r="AG73" s="45" t="s">
        <v>243</v>
      </c>
      <c r="AH73" s="44">
        <f>TRUNC(AH37/50)*50</f>
        <v>0</v>
      </c>
      <c r="AI73" s="45">
        <f>TRUNC(AI37/50)*50</f>
        <v>2550</v>
      </c>
      <c r="AJ73" s="45">
        <f>TRUNC(AJ37/50)*50</f>
        <v>6000</v>
      </c>
      <c r="AK73" s="45">
        <f>TRUNC(AK37/50)*50</f>
        <v>9150</v>
      </c>
      <c r="AL73" s="45">
        <f>TRUNC(AL37/50)*50</f>
        <v>12500</v>
      </c>
      <c r="AM73" s="45" t="str">
        <f>AM37</f>
        <v>unused</v>
      </c>
      <c r="AN73" s="45" t="str">
        <f>AN37</f>
        <v>excess</v>
      </c>
    </row>
    <row r="74" ht="12.75" customHeight="1" spans="1:40" x14ac:dyDescent="0.25">
      <c r="A74" s="18">
        <f>A75+1</f>
        <v>2016</v>
      </c>
      <c r="B74" s="18"/>
      <c r="C74" s="18"/>
      <c r="D74" s="79"/>
      <c r="E74" s="79"/>
      <c r="F74" s="44">
        <f>TRUNC(F38/50)*50</f>
        <v>18550</v>
      </c>
      <c r="G74" s="45">
        <f>TRUNC(G38/100)*100</f>
        <v>75300</v>
      </c>
      <c r="H74" s="45">
        <f>TRUNC(H38/50)*50</f>
        <v>151900</v>
      </c>
      <c r="I74" s="45">
        <f>TRUNC(I38/50)*50</f>
        <v>231450</v>
      </c>
      <c r="J74" s="45">
        <f>TRUNC(J38/50)*50</f>
        <v>413350</v>
      </c>
      <c r="K74" s="45">
        <f>TRUNC(K38/50)*50</f>
        <v>466950</v>
      </c>
      <c r="L74" s="45" t="s">
        <v>243</v>
      </c>
      <c r="M74" s="44">
        <f>TRUNC(M38/25)*25</f>
        <v>9275</v>
      </c>
      <c r="N74" s="45">
        <f>TRUNC(N38/50)*50</f>
        <v>37650</v>
      </c>
      <c r="O74" s="45">
        <f>TRUNC(O38/50)*50</f>
        <v>91150</v>
      </c>
      <c r="P74" s="45">
        <f>TRUNC(P38/50)*50</f>
        <v>190150</v>
      </c>
      <c r="Q74" s="45">
        <f>TRUNC(Q38/50)*50</f>
        <v>413350</v>
      </c>
      <c r="R74" s="45">
        <f>TRUNC(R38/50)*50</f>
        <v>415050</v>
      </c>
      <c r="S74" s="45" t="s">
        <v>243</v>
      </c>
      <c r="T74" s="44">
        <f>TRUNC(T38/50)*50</f>
        <v>13250</v>
      </c>
      <c r="U74" s="45">
        <f>TRUNC(U38/50)*50</f>
        <v>50400</v>
      </c>
      <c r="V74" s="45">
        <f>TRUNC(V38/50)*50</f>
        <v>130150</v>
      </c>
      <c r="W74" s="45">
        <f>TRUNC(W38/50)*50</f>
        <v>210800</v>
      </c>
      <c r="X74" s="45">
        <f>TRUNC(X38/50)*50</f>
        <v>413350</v>
      </c>
      <c r="Y74" s="45">
        <f>TRUNC(Y38/50)*50</f>
        <v>441000</v>
      </c>
      <c r="Z74" s="45" t="s">
        <v>243</v>
      </c>
      <c r="AA74" s="44">
        <f>TRUNC(AA38/25)*25</f>
        <v>9275</v>
      </c>
      <c r="AB74" s="45">
        <f>TRUNC(AB38/50)*50</f>
        <v>37650</v>
      </c>
      <c r="AC74" s="45">
        <f>TRUNC(AC38/25)*25</f>
        <v>75950</v>
      </c>
      <c r="AD74" s="45">
        <f>TRUNC(AD38/25)*25</f>
        <v>115725</v>
      </c>
      <c r="AE74" s="45">
        <f>TRUNC(AE38/25)*25</f>
        <v>206675</v>
      </c>
      <c r="AF74" s="45">
        <f>TRUNC(AF38/25)*25</f>
        <v>233475</v>
      </c>
      <c r="AG74" s="45" t="s">
        <v>243</v>
      </c>
      <c r="AH74" s="44">
        <f>TRUNC(AH38/50)*50</f>
        <v>0</v>
      </c>
      <c r="AI74" s="45">
        <f>TRUNC(AI38/50)*50</f>
        <v>2550</v>
      </c>
      <c r="AJ74" s="45">
        <f>TRUNC(AJ38/50)*50</f>
        <v>5950</v>
      </c>
      <c r="AK74" s="45">
        <f>TRUNC(AK38/50)*50</f>
        <v>9050</v>
      </c>
      <c r="AL74" s="45">
        <f>TRUNC(AL38/50)*50</f>
        <v>12400</v>
      </c>
      <c r="AM74" s="45" t="str">
        <f>AM38</f>
        <v>unused</v>
      </c>
      <c r="AN74" s="45" t="str">
        <f>AN38</f>
        <v>excess</v>
      </c>
    </row>
    <row r="75" ht="12.75" customHeight="1" spans="1:40" x14ac:dyDescent="0.25">
      <c r="A75" s="18">
        <f>A76+1</f>
        <v>2015</v>
      </c>
      <c r="B75" s="27"/>
      <c r="C75" s="27"/>
      <c r="D75" s="77"/>
      <c r="E75" s="77"/>
      <c r="F75" s="44">
        <f>TRUNC(F39/50)*50</f>
        <v>18450</v>
      </c>
      <c r="G75" s="45">
        <f>TRUNC(G39/100)*100</f>
        <v>74900</v>
      </c>
      <c r="H75" s="45">
        <f>TRUNC(H39/50)*50</f>
        <v>151200</v>
      </c>
      <c r="I75" s="45">
        <f>TRUNC(I39/50)*50</f>
        <v>230450</v>
      </c>
      <c r="J75" s="45">
        <f>TRUNC(J39/50)*50</f>
        <v>411500</v>
      </c>
      <c r="K75" s="45">
        <f>TRUNC(K39/50)*50</f>
        <v>464850</v>
      </c>
      <c r="L75" s="45" t="s">
        <v>243</v>
      </c>
      <c r="M75" s="44">
        <f>TRUNC(M39/25)*25</f>
        <v>9225</v>
      </c>
      <c r="N75" s="45">
        <f>TRUNC(N39/50)*50</f>
        <v>37450</v>
      </c>
      <c r="O75" s="45">
        <f>TRUNC(O39/50)*50</f>
        <v>90750</v>
      </c>
      <c r="P75" s="45">
        <f>TRUNC(P39/50)*50</f>
        <v>189300</v>
      </c>
      <c r="Q75" s="45">
        <f>TRUNC(Q39/50)*50</f>
        <v>411500</v>
      </c>
      <c r="R75" s="45">
        <f>TRUNC(R39/50)*50</f>
        <v>413200</v>
      </c>
      <c r="S75" s="45" t="s">
        <v>243</v>
      </c>
      <c r="T75" s="44">
        <f>TRUNC(T39/50)*50</f>
        <v>13150</v>
      </c>
      <c r="U75" s="45">
        <f>TRUNC(U39/50)*50</f>
        <v>50200</v>
      </c>
      <c r="V75" s="45">
        <f>TRUNC(V39/50)*50</f>
        <v>129600</v>
      </c>
      <c r="W75" s="45">
        <f>TRUNC(W39/50)*50</f>
        <v>209850</v>
      </c>
      <c r="X75" s="45">
        <f>TRUNC(X39/50)*50</f>
        <v>411500</v>
      </c>
      <c r="Y75" s="45">
        <f>TRUNC(Y39/50)*50</f>
        <v>439000</v>
      </c>
      <c r="Z75" s="45" t="s">
        <v>243</v>
      </c>
      <c r="AA75" s="44">
        <f>TRUNC(AA39/25)*25</f>
        <v>9225</v>
      </c>
      <c r="AB75" s="45">
        <f>TRUNC(AB39/50)*50</f>
        <v>37450</v>
      </c>
      <c r="AC75" s="45">
        <f>TRUNC(AC39/25)*25</f>
        <v>75600</v>
      </c>
      <c r="AD75" s="45">
        <f>TRUNC(AD39/25)*25</f>
        <v>115225</v>
      </c>
      <c r="AE75" s="45">
        <f>TRUNC(AE39/25)*25</f>
        <v>205750</v>
      </c>
      <c r="AF75" s="45">
        <f>TRUNC(AF39/25)*25</f>
        <v>232425</v>
      </c>
      <c r="AG75" s="45" t="s">
        <v>243</v>
      </c>
      <c r="AH75" s="44">
        <f>TRUNC(AH39/50)*50</f>
        <v>0</v>
      </c>
      <c r="AI75" s="45">
        <f>TRUNC(AI39/50)*50</f>
        <v>2500</v>
      </c>
      <c r="AJ75" s="45">
        <f>TRUNC(AJ39/50)*50</f>
        <v>5900</v>
      </c>
      <c r="AK75" s="45">
        <f>TRUNC(AK39/50)*50</f>
        <v>9050</v>
      </c>
      <c r="AL75" s="45">
        <f>TRUNC(AL39/50)*50</f>
        <v>12300</v>
      </c>
      <c r="AM75" s="45" t="str">
        <f>AM39</f>
        <v>unused</v>
      </c>
      <c r="AN75" s="45" t="str">
        <f>AN39</f>
        <v>excess</v>
      </c>
    </row>
    <row r="76" ht="12.75" customHeight="1" spans="1:40" x14ac:dyDescent="0.25">
      <c r="A76" s="18">
        <f>A77+1</f>
        <v>2014</v>
      </c>
      <c r="B76" s="18"/>
      <c r="C76" s="18"/>
      <c r="D76" s="79"/>
      <c r="E76" s="79"/>
      <c r="F76" s="44">
        <f>TRUNC(F40/50)*50</f>
        <v>18150</v>
      </c>
      <c r="G76" s="45">
        <f>TRUNC(G40/100)*100</f>
        <v>73800</v>
      </c>
      <c r="H76" s="45">
        <f>TRUNC(H40/50)*50</f>
        <v>148850</v>
      </c>
      <c r="I76" s="45">
        <f>TRUNC(I40/50)*50</f>
        <v>226850</v>
      </c>
      <c r="J76" s="45">
        <f>TRUNC(J40/50)*50</f>
        <v>405100</v>
      </c>
      <c r="K76" s="45">
        <f>TRUNC(K40/50)*50</f>
        <v>457600</v>
      </c>
      <c r="L76" s="45" t="s">
        <v>243</v>
      </c>
      <c r="M76" s="44">
        <f>TRUNC(M40/25)*25</f>
        <v>9075</v>
      </c>
      <c r="N76" s="45">
        <f>TRUNC(N40/50)*50</f>
        <v>36900</v>
      </c>
      <c r="O76" s="45">
        <f>TRUNC(O40/50)*50</f>
        <v>89350</v>
      </c>
      <c r="P76" s="45">
        <f>TRUNC(P40/50)*50</f>
        <v>186350</v>
      </c>
      <c r="Q76" s="45">
        <f>TRUNC(Q40/50)*50</f>
        <v>405100</v>
      </c>
      <c r="R76" s="45">
        <f>TRUNC(R40/50)*50</f>
        <v>406750</v>
      </c>
      <c r="S76" s="45" t="s">
        <v>243</v>
      </c>
      <c r="T76" s="44">
        <f>TRUNC(T40/50)*50</f>
        <v>12950</v>
      </c>
      <c r="U76" s="45">
        <f>TRUNC(U40/50)*50</f>
        <v>49400</v>
      </c>
      <c r="V76" s="45">
        <f>TRUNC(V40/50)*50</f>
        <v>127550</v>
      </c>
      <c r="W76" s="45">
        <f>TRUNC(W40/50)*50</f>
        <v>206600</v>
      </c>
      <c r="X76" s="45">
        <f>TRUNC(X40/50)*50</f>
        <v>405100</v>
      </c>
      <c r="Y76" s="45">
        <f>TRUNC(Y40/50)*50</f>
        <v>432200</v>
      </c>
      <c r="Z76" s="45" t="s">
        <v>243</v>
      </c>
      <c r="AA76" s="44">
        <f>TRUNC(AA40/25)*25</f>
        <v>9075</v>
      </c>
      <c r="AB76" s="45">
        <f>TRUNC(AB40/50)*50</f>
        <v>36900</v>
      </c>
      <c r="AC76" s="45">
        <f>TRUNC(AC40/25)*25</f>
        <v>74425</v>
      </c>
      <c r="AD76" s="45">
        <f>TRUNC(AD40/25)*25</f>
        <v>113425</v>
      </c>
      <c r="AE76" s="45">
        <f>TRUNC(AE40/25)*25</f>
        <v>202550</v>
      </c>
      <c r="AF76" s="45">
        <f>TRUNC(AF40/25)*25</f>
        <v>228800</v>
      </c>
      <c r="AG76" s="45" t="s">
        <v>243</v>
      </c>
      <c r="AH76" s="44">
        <f>TRUNC(AH40/50)*50</f>
        <v>0</v>
      </c>
      <c r="AI76" s="45">
        <f>TRUNC(AI40/50)*50</f>
        <v>2500</v>
      </c>
      <c r="AJ76" s="45">
        <f>TRUNC(AJ40/50)*50</f>
        <v>5800</v>
      </c>
      <c r="AK76" s="45">
        <f>TRUNC(AK40/50)*50</f>
        <v>8900</v>
      </c>
      <c r="AL76" s="45">
        <f>TRUNC(AL40/50)*50</f>
        <v>12150</v>
      </c>
      <c r="AM76" s="45" t="str">
        <f>AM40</f>
        <v>unused</v>
      </c>
      <c r="AN76" s="45" t="str">
        <f>AN40</f>
        <v>excess</v>
      </c>
    </row>
    <row r="77" ht="12.75" customHeight="1" spans="1:40" x14ac:dyDescent="0.25">
      <c r="A77" s="18">
        <f>A78+1</f>
        <v>2013</v>
      </c>
      <c r="B77" s="18"/>
      <c r="C77" s="18"/>
      <c r="D77" s="79"/>
      <c r="E77" s="79"/>
      <c r="F77" s="44">
        <f>TRUNC(F41/50)*50</f>
        <v>17850</v>
      </c>
      <c r="G77" s="45">
        <f>TRUNC(G41/100)*100</f>
        <v>72500</v>
      </c>
      <c r="H77" s="45">
        <f>TRUNC(H41/50)*50</f>
        <v>146400</v>
      </c>
      <c r="I77" s="45">
        <f>TRUNC(I41/50)*50</f>
        <v>223050</v>
      </c>
      <c r="J77" s="45">
        <f>TRUNC(J41/50)*50</f>
        <v>398350</v>
      </c>
      <c r="K77" s="88">
        <f>TRUNC(K41/50)*50</f>
        <v>450000</v>
      </c>
      <c r="L77" s="45" t="s">
        <v>243</v>
      </c>
      <c r="M77" s="44">
        <f>TRUNC(M41/25)*25</f>
        <v>8925</v>
      </c>
      <c r="N77" s="45">
        <f>TRUNC(N41/50)*50</f>
        <v>36250</v>
      </c>
      <c r="O77" s="45">
        <f>TRUNC(O41/50)*50</f>
        <v>87850</v>
      </c>
      <c r="P77" s="45">
        <f>TRUNC(P41/50)*50</f>
        <v>183250</v>
      </c>
      <c r="Q77" s="45">
        <f>TRUNC(Q41/50)*50</f>
        <v>398350</v>
      </c>
      <c r="R77" s="88">
        <f>TRUNC(R41/50)*50</f>
        <v>400000</v>
      </c>
      <c r="S77" s="45" t="s">
        <v>243</v>
      </c>
      <c r="T77" s="44">
        <f>TRUNC(T41/50)*50</f>
        <v>12750</v>
      </c>
      <c r="U77" s="45">
        <f>TRUNC(U41/50)*50</f>
        <v>48600</v>
      </c>
      <c r="V77" s="45">
        <f>TRUNC(V41/50)*50</f>
        <v>125450</v>
      </c>
      <c r="W77" s="45">
        <f>TRUNC(W41/50)*50</f>
        <v>203150</v>
      </c>
      <c r="X77" s="45">
        <f>TRUNC(X41/50)*50</f>
        <v>398350</v>
      </c>
      <c r="Y77" s="88">
        <f>TRUNC(Y41/50)*50</f>
        <v>425000</v>
      </c>
      <c r="Z77" s="45" t="s">
        <v>243</v>
      </c>
      <c r="AA77" s="44">
        <f>TRUNC(AA41/25)*25</f>
        <v>8925</v>
      </c>
      <c r="AB77" s="45">
        <f>TRUNC(AB41/50)*50</f>
        <v>36250</v>
      </c>
      <c r="AC77" s="45">
        <f>TRUNC(AC41/25)*25</f>
        <v>73200</v>
      </c>
      <c r="AD77" s="45">
        <f>TRUNC(AD41/25)*25</f>
        <v>111525</v>
      </c>
      <c r="AE77" s="45">
        <f>TRUNC(AE41/25)*25</f>
        <v>199175</v>
      </c>
      <c r="AF77" s="88">
        <f>TRUNC(AF41/25)*25</f>
        <v>225000</v>
      </c>
      <c r="AG77" s="45" t="s">
        <v>243</v>
      </c>
      <c r="AH77" s="44">
        <f>TRUNC(AH41/50)*50</f>
        <v>0</v>
      </c>
      <c r="AI77" s="45">
        <f>TRUNC(AI41/50)*50</f>
        <v>2450</v>
      </c>
      <c r="AJ77" s="45">
        <f>TRUNC(AJ41/50)*50</f>
        <v>5700</v>
      </c>
      <c r="AK77" s="45">
        <f>TRUNC(AK41/50)*50</f>
        <v>8750</v>
      </c>
      <c r="AL77" s="45">
        <f>TRUNC(AL41/50)*50</f>
        <v>11950</v>
      </c>
      <c r="AM77" s="88" t="str">
        <f>AM41</f>
        <v>unused</v>
      </c>
      <c r="AN77" s="88" t="str">
        <f>AN41</f>
        <v>excess</v>
      </c>
    </row>
    <row r="78" ht="12.75" customHeight="1" spans="1:40" x14ac:dyDescent="0.25">
      <c r="A78" s="18">
        <f>A79+1</f>
        <v>2012</v>
      </c>
      <c r="B78" s="18"/>
      <c r="C78" s="18"/>
      <c r="D78" s="79"/>
      <c r="E78" s="79"/>
      <c r="F78" s="44">
        <f>TRUNC(F42/50)*50</f>
        <v>17400</v>
      </c>
      <c r="G78" s="45">
        <f>TRUNC(G42/100)*100</f>
        <v>70700</v>
      </c>
      <c r="H78" s="45">
        <f>TRUNC(H42/50)*50</f>
        <v>142700</v>
      </c>
      <c r="I78" s="45">
        <f>TRUNC(I42/50)*50</f>
        <v>217450</v>
      </c>
      <c r="J78" s="45">
        <f>TRUNC(J42/50)*50</f>
        <v>388350</v>
      </c>
      <c r="K78" s="45"/>
      <c r="L78" s="45" t="s">
        <v>243</v>
      </c>
      <c r="M78" s="44">
        <f>TRUNC(M42/25)*25</f>
        <v>8700</v>
      </c>
      <c r="N78" s="45">
        <f>TRUNC(N42/50)*50</f>
        <v>35350</v>
      </c>
      <c r="O78" s="45">
        <f>TRUNC(O42/50)*50</f>
        <v>85650</v>
      </c>
      <c r="P78" s="45">
        <f>TRUNC(P42/50)*50</f>
        <v>178650</v>
      </c>
      <c r="Q78" s="45">
        <f>TRUNC(Q42/50)*50</f>
        <v>388350</v>
      </c>
      <c r="R78" s="45"/>
      <c r="S78" s="45" t="s">
        <v>243</v>
      </c>
      <c r="T78" s="44">
        <f>TRUNC(T42/50)*50</f>
        <v>12400</v>
      </c>
      <c r="U78" s="45">
        <f>TRUNC(U42/50)*50</f>
        <v>47350</v>
      </c>
      <c r="V78" s="45">
        <f>TRUNC(V42/50)*50</f>
        <v>122300</v>
      </c>
      <c r="W78" s="45">
        <f>TRUNC(W42/50)*50</f>
        <v>198050</v>
      </c>
      <c r="X78" s="45">
        <f>TRUNC(X42/50)*50</f>
        <v>388350</v>
      </c>
      <c r="Y78" s="45"/>
      <c r="Z78" s="45" t="s">
        <v>243</v>
      </c>
      <c r="AA78" s="44">
        <f>TRUNC(AA42/25)*25</f>
        <v>8700</v>
      </c>
      <c r="AB78" s="45">
        <f>TRUNC(AB42/50)*50</f>
        <v>35350</v>
      </c>
      <c r="AC78" s="45">
        <f>TRUNC(AC42/25)*25</f>
        <v>71350</v>
      </c>
      <c r="AD78" s="45">
        <f>TRUNC(AD42/25)*25</f>
        <v>108725</v>
      </c>
      <c r="AE78" s="45">
        <f>TRUNC(AE42/25)*25</f>
        <v>194175</v>
      </c>
      <c r="AF78" s="45"/>
      <c r="AG78" s="45" t="s">
        <v>243</v>
      </c>
      <c r="AH78" s="44">
        <f>TRUNC(AH42/50)*50</f>
        <v>0</v>
      </c>
      <c r="AI78" s="45">
        <f>TRUNC(AI42/50)*50</f>
        <v>2400</v>
      </c>
      <c r="AJ78" s="45">
        <f>TRUNC(AJ42/50)*50</f>
        <v>5600</v>
      </c>
      <c r="AK78" s="45">
        <f>TRUNC(AK42/50)*50</f>
        <v>8500</v>
      </c>
      <c r="AL78" s="45">
        <f>TRUNC(AL42/50)*50</f>
        <v>11650</v>
      </c>
      <c r="AN78" s="45"/>
    </row>
    <row r="79" ht="12.75" customHeight="1" spans="1:40" x14ac:dyDescent="0.25">
      <c r="A79" s="18">
        <f>A80+1</f>
        <v>2011</v>
      </c>
      <c r="B79" s="18"/>
      <c r="C79" s="18"/>
      <c r="D79" s="79"/>
      <c r="E79" s="79"/>
      <c r="F79" s="44">
        <f>TRUNC(F43/50)*50</f>
        <v>17000</v>
      </c>
      <c r="G79" s="45">
        <f>TRUNC(G43/100)*100</f>
        <v>69000</v>
      </c>
      <c r="H79" s="45">
        <f>TRUNC(H43/50)*50</f>
        <v>139350</v>
      </c>
      <c r="I79" s="45">
        <f>TRUNC(I43/50)*50</f>
        <v>212300</v>
      </c>
      <c r="J79" s="45">
        <f>TRUNC(J43/50)*50</f>
        <v>379150</v>
      </c>
      <c r="K79" s="45"/>
      <c r="L79" s="45" t="s">
        <v>243</v>
      </c>
      <c r="M79" s="44">
        <f>TRUNC(M43/25)*25</f>
        <v>8500</v>
      </c>
      <c r="N79" s="45">
        <f>TRUNC(N43/50)*50</f>
        <v>34500</v>
      </c>
      <c r="O79" s="45">
        <f>TRUNC(O43/50)*50</f>
        <v>83600</v>
      </c>
      <c r="P79" s="45">
        <f>TRUNC(P43/50)*50</f>
        <v>174400</v>
      </c>
      <c r="Q79" s="45">
        <f>TRUNC(Q43/50)*50</f>
        <v>379150</v>
      </c>
      <c r="R79" s="45"/>
      <c r="S79" s="45" t="s">
        <v>243</v>
      </c>
      <c r="T79" s="44">
        <f>TRUNC(T43/50)*50</f>
        <v>12150</v>
      </c>
      <c r="U79" s="45">
        <f>TRUNC(U43/50)*50</f>
        <v>46250</v>
      </c>
      <c r="V79" s="45">
        <f>TRUNC(V43/50)*50</f>
        <v>119400</v>
      </c>
      <c r="W79" s="45">
        <f>TRUNC(W43/50)*50</f>
        <v>193350</v>
      </c>
      <c r="X79" s="45">
        <f>TRUNC(X43/50)*50</f>
        <v>379150</v>
      </c>
      <c r="Y79" s="45"/>
      <c r="Z79" s="45" t="s">
        <v>243</v>
      </c>
      <c r="AA79" s="44">
        <f>TRUNC(AA43/25)*25</f>
        <v>8500</v>
      </c>
      <c r="AB79" s="45">
        <f>TRUNC(AB43/50)*50</f>
        <v>34500</v>
      </c>
      <c r="AC79" s="45">
        <f>TRUNC(AC43/25)*25</f>
        <v>69675</v>
      </c>
      <c r="AD79" s="45">
        <f>TRUNC(AD43/25)*25</f>
        <v>106150</v>
      </c>
      <c r="AE79" s="45">
        <f>TRUNC(AE43/25)*25</f>
        <v>189575</v>
      </c>
      <c r="AF79" s="45"/>
      <c r="AG79" s="45" t="s">
        <v>243</v>
      </c>
      <c r="AH79" s="44">
        <f>TRUNC(AH43/50)*50</f>
        <v>0</v>
      </c>
      <c r="AI79" s="45">
        <f>TRUNC(AI43/50)*50</f>
        <v>2300</v>
      </c>
      <c r="AJ79" s="45">
        <f>TRUNC(AJ43/50)*50</f>
        <v>5450</v>
      </c>
      <c r="AK79" s="45">
        <f>TRUNC(AK43/50)*50</f>
        <v>8300</v>
      </c>
      <c r="AL79" s="45">
        <f>TRUNC(AL43/50)*50</f>
        <v>11350</v>
      </c>
      <c r="AN79" s="45"/>
    </row>
    <row r="80" ht="12.75" customHeight="1" spans="1:40" x14ac:dyDescent="0.25">
      <c r="A80" s="18">
        <f>A81+1</f>
        <v>2010</v>
      </c>
      <c r="B80" s="18"/>
      <c r="C80" s="18"/>
      <c r="D80" s="79"/>
      <c r="E80" s="79"/>
      <c r="F80" s="44">
        <f>TRUNC(F44/50)*50</f>
        <v>16750</v>
      </c>
      <c r="G80" s="45">
        <f>TRUNC(G44/100)*100</f>
        <v>68000</v>
      </c>
      <c r="H80" s="45">
        <f>TRUNC(H44/50)*50</f>
        <v>137300</v>
      </c>
      <c r="I80" s="45">
        <f>TRUNC(I44/50)*50</f>
        <v>209250</v>
      </c>
      <c r="J80" s="45">
        <f>TRUNC(J44/50)*50</f>
        <v>373650</v>
      </c>
      <c r="K80" s="45"/>
      <c r="L80" s="45" t="s">
        <v>243</v>
      </c>
      <c r="M80" s="44">
        <f>TRUNC(M44/25)*25</f>
        <v>8375</v>
      </c>
      <c r="N80" s="45">
        <f>TRUNC(N44/50)*50</f>
        <v>34000</v>
      </c>
      <c r="O80" s="45">
        <f>TRUNC(O44/50)*50</f>
        <v>82400</v>
      </c>
      <c r="P80" s="45">
        <f>TRUNC(P44/50)*50</f>
        <v>171850</v>
      </c>
      <c r="Q80" s="45">
        <f>TRUNC(Q44/50)*50</f>
        <v>373650</v>
      </c>
      <c r="R80" s="45"/>
      <c r="S80" s="45" t="s">
        <v>243</v>
      </c>
      <c r="T80" s="44">
        <f>TRUNC(T44/50)*50</f>
        <v>11950</v>
      </c>
      <c r="U80" s="45">
        <f>TRUNC(U44/50)*50</f>
        <v>45550</v>
      </c>
      <c r="V80" s="45">
        <f>TRUNC(V44/50)*50</f>
        <v>117650</v>
      </c>
      <c r="W80" s="45">
        <f>TRUNC(W44/50)*50</f>
        <v>190550</v>
      </c>
      <c r="X80" s="45">
        <f>TRUNC(X44/50)*50</f>
        <v>373650</v>
      </c>
      <c r="Y80" s="45"/>
      <c r="Z80" s="45" t="s">
        <v>243</v>
      </c>
      <c r="AA80" s="44">
        <f>TRUNC(AA44/25)*25</f>
        <v>8375</v>
      </c>
      <c r="AB80" s="45">
        <f>TRUNC(AB44/50)*50</f>
        <v>34000</v>
      </c>
      <c r="AC80" s="45">
        <f>TRUNC(AC44/25)*25</f>
        <v>68650</v>
      </c>
      <c r="AD80" s="45">
        <f>TRUNC(AD44/25)*25</f>
        <v>104625</v>
      </c>
      <c r="AE80" s="45">
        <f>TRUNC(AE44/25)*25</f>
        <v>186825</v>
      </c>
      <c r="AF80" s="45"/>
      <c r="AG80" s="45" t="s">
        <v>243</v>
      </c>
      <c r="AH80" s="44">
        <f>TRUNC(AH44/50)*50</f>
        <v>0</v>
      </c>
      <c r="AI80" s="45">
        <f>TRUNC(AI44/50)*50</f>
        <v>2300</v>
      </c>
      <c r="AJ80" s="45">
        <f>TRUNC(AJ44/50)*50</f>
        <v>5350</v>
      </c>
      <c r="AK80" s="45">
        <f>TRUNC(AK44/50)*50</f>
        <v>8200</v>
      </c>
      <c r="AL80" s="45">
        <f>TRUNC(AL44/50)*50</f>
        <v>11200</v>
      </c>
      <c r="AN80" s="45"/>
    </row>
    <row r="81" ht="12.75" customHeight="1" spans="1:40" x14ac:dyDescent="0.25">
      <c r="A81" s="18">
        <f>A82+1</f>
        <v>2009</v>
      </c>
      <c r="B81" s="18"/>
      <c r="C81" s="18"/>
      <c r="D81" s="79"/>
      <c r="E81" s="79"/>
      <c r="F81" s="44">
        <f>TRUNC(F45/50)*50</f>
        <v>16700</v>
      </c>
      <c r="G81" s="45">
        <f>TRUNC(G45/100)*100</f>
        <v>67900</v>
      </c>
      <c r="H81" s="45">
        <f>TRUNC(H45/50)*50</f>
        <v>137050</v>
      </c>
      <c r="I81" s="45">
        <f>TRUNC(I45/50)*50</f>
        <v>208850</v>
      </c>
      <c r="J81" s="45">
        <f>TRUNC(J45/50)*50</f>
        <v>372950</v>
      </c>
      <c r="K81" s="45"/>
      <c r="L81" s="45" t="s">
        <v>243</v>
      </c>
      <c r="M81" s="44">
        <f>TRUNC(M45/25)*25</f>
        <v>8350</v>
      </c>
      <c r="N81" s="45">
        <f>TRUNC(N45/50)*50</f>
        <v>33950</v>
      </c>
      <c r="O81" s="45">
        <f>TRUNC(O45/50)*50</f>
        <v>82250</v>
      </c>
      <c r="P81" s="45">
        <f>TRUNC(P45/50)*50</f>
        <v>171550</v>
      </c>
      <c r="Q81" s="45">
        <f>TRUNC(Q45/50)*50</f>
        <v>372950</v>
      </c>
      <c r="R81" s="45"/>
      <c r="S81" s="45" t="s">
        <v>243</v>
      </c>
      <c r="T81" s="44">
        <f>TRUNC(T45/50)*50</f>
        <v>11950</v>
      </c>
      <c r="U81" s="45">
        <f>TRUNC(U45/50)*50</f>
        <v>45500</v>
      </c>
      <c r="V81" s="45">
        <f>TRUNC(V45/50)*50</f>
        <v>117450</v>
      </c>
      <c r="W81" s="45">
        <f>TRUNC(W45/50)*50</f>
        <v>190200</v>
      </c>
      <c r="X81" s="45">
        <f>TRUNC(X45/50)*50</f>
        <v>372950</v>
      </c>
      <c r="Y81" s="45"/>
      <c r="Z81" s="45" t="s">
        <v>243</v>
      </c>
      <c r="AA81" s="44">
        <f>TRUNC(AA45/25)*25</f>
        <v>8350</v>
      </c>
      <c r="AB81" s="45">
        <f>TRUNC(AB45/50)*50</f>
        <v>33950</v>
      </c>
      <c r="AC81" s="45">
        <f>TRUNC(AC45/25)*25</f>
        <v>68525</v>
      </c>
      <c r="AD81" s="45">
        <f>TRUNC(AD45/25)*25</f>
        <v>104425</v>
      </c>
      <c r="AE81" s="45">
        <f>TRUNC(AE45/25)*25</f>
        <v>186475</v>
      </c>
      <c r="AF81" s="45"/>
      <c r="AG81" s="45" t="s">
        <v>243</v>
      </c>
      <c r="AH81" s="44">
        <f>TRUNC(AH45/50)*50</f>
        <v>0</v>
      </c>
      <c r="AI81" s="45">
        <f>TRUNC(AI45/50)*50</f>
        <v>2300</v>
      </c>
      <c r="AJ81" s="45">
        <f>TRUNC(AJ45/50)*50</f>
        <v>5350</v>
      </c>
      <c r="AK81" s="45">
        <f>TRUNC(AK45/50)*50</f>
        <v>8200</v>
      </c>
      <c r="AL81" s="45">
        <f>TRUNC(AL45/50)*50</f>
        <v>11150</v>
      </c>
      <c r="AN81" s="45"/>
    </row>
    <row r="82" ht="12.75" customHeight="1" spans="1:40" x14ac:dyDescent="0.25">
      <c r="A82" s="18">
        <f>A83+1</f>
        <v>2008</v>
      </c>
      <c r="B82" s="18"/>
      <c r="C82" s="18"/>
      <c r="D82" s="79"/>
      <c r="E82" s="79"/>
      <c r="F82" s="44">
        <f>TRUNC(F46/50)*50</f>
        <v>16050</v>
      </c>
      <c r="G82" s="45">
        <f>TRUNC(G46/100)*100</f>
        <v>65100</v>
      </c>
      <c r="H82" s="45">
        <f>TRUNC(H46/50)*50</f>
        <v>131450</v>
      </c>
      <c r="I82" s="45">
        <f>TRUNC(I46/50)*50</f>
        <v>200300</v>
      </c>
      <c r="J82" s="45">
        <f>TRUNC(J46/50)*50</f>
        <v>357700</v>
      </c>
      <c r="K82" s="45"/>
      <c r="L82" s="45" t="s">
        <v>243</v>
      </c>
      <c r="M82" s="44">
        <f>TRUNC(M46/25)*25</f>
        <v>8025</v>
      </c>
      <c r="N82" s="45">
        <f>TRUNC(N46/50)*50</f>
        <v>32550</v>
      </c>
      <c r="O82" s="45">
        <f>TRUNC(O46/50)*50</f>
        <v>78850</v>
      </c>
      <c r="P82" s="45">
        <f>TRUNC(P46/50)*50</f>
        <v>164550</v>
      </c>
      <c r="Q82" s="45">
        <f>TRUNC(Q46/50)*50</f>
        <v>357700</v>
      </c>
      <c r="R82" s="45"/>
      <c r="S82" s="45" t="s">
        <v>243</v>
      </c>
      <c r="T82" s="44">
        <f>TRUNC(T46/50)*50</f>
        <v>11450</v>
      </c>
      <c r="U82" s="45">
        <f>TRUNC(U46/50)*50</f>
        <v>43650</v>
      </c>
      <c r="V82" s="45">
        <f>TRUNC(V46/50)*50</f>
        <v>112650</v>
      </c>
      <c r="W82" s="45">
        <f>TRUNC(W46/50)*50</f>
        <v>182400</v>
      </c>
      <c r="X82" s="45">
        <f>TRUNC(X46/50)*50</f>
        <v>357700</v>
      </c>
      <c r="Y82" s="45"/>
      <c r="Z82" s="45" t="s">
        <v>243</v>
      </c>
      <c r="AA82" s="44">
        <f>TRUNC(AA46/25)*25</f>
        <v>8025</v>
      </c>
      <c r="AB82" s="45">
        <f>TRUNC(AB46/50)*50</f>
        <v>32550</v>
      </c>
      <c r="AC82" s="45">
        <f>TRUNC(AC46/25)*25</f>
        <v>65725</v>
      </c>
      <c r="AD82" s="45">
        <f>TRUNC(AD46/25)*25</f>
        <v>100150</v>
      </c>
      <c r="AE82" s="45">
        <f>TRUNC(AE46/25)*25</f>
        <v>178850</v>
      </c>
      <c r="AF82" s="45"/>
      <c r="AG82" s="45" t="s">
        <v>243</v>
      </c>
      <c r="AH82" s="44">
        <f>TRUNC(AH46/50)*50</f>
        <v>0</v>
      </c>
      <c r="AI82" s="45">
        <f>TRUNC(AI46/50)*50</f>
        <v>2200</v>
      </c>
      <c r="AJ82" s="45">
        <f>TRUNC(AJ46/50)*50</f>
        <v>5150</v>
      </c>
      <c r="AK82" s="45">
        <f>TRUNC(AK46/50)*50</f>
        <v>7850</v>
      </c>
      <c r="AL82" s="45">
        <f>TRUNC(AL46/50)*50</f>
        <v>10700</v>
      </c>
      <c r="AN82" s="45"/>
    </row>
    <row r="83" ht="12.75" customHeight="1" spans="1:40" x14ac:dyDescent="0.25">
      <c r="A83" s="18">
        <f>A84+1</f>
        <v>2007</v>
      </c>
      <c r="B83" s="18"/>
      <c r="C83" s="18"/>
      <c r="D83" s="79"/>
      <c r="E83" s="79"/>
      <c r="F83" s="44">
        <f>TRUNC(F47/50)*50</f>
        <v>15650</v>
      </c>
      <c r="G83" s="45">
        <f>TRUNC(G47/100)*100</f>
        <v>63700</v>
      </c>
      <c r="H83" s="45">
        <f>TRUNC(H47/50)*50</f>
        <v>128500</v>
      </c>
      <c r="I83" s="45">
        <f>TRUNC(I47/50)*50</f>
        <v>195850</v>
      </c>
      <c r="J83" s="45">
        <f>TRUNC(J47/50)*50</f>
        <v>349700</v>
      </c>
      <c r="K83" s="45"/>
      <c r="L83" s="45" t="s">
        <v>243</v>
      </c>
      <c r="M83" s="44">
        <f>TRUNC(M47/25)*25</f>
        <v>7825</v>
      </c>
      <c r="N83" s="45">
        <f>TRUNC(N47/50)*50</f>
        <v>31850</v>
      </c>
      <c r="O83" s="45">
        <f>TRUNC(O47/50)*50</f>
        <v>77100</v>
      </c>
      <c r="P83" s="45">
        <f>TRUNC(P47/50)*50</f>
        <v>160850</v>
      </c>
      <c r="Q83" s="45">
        <f>TRUNC(Q47/50)*50</f>
        <v>349700</v>
      </c>
      <c r="R83" s="45"/>
      <c r="S83" s="45" t="s">
        <v>243</v>
      </c>
      <c r="T83" s="44">
        <f>TRUNC(T47/50)*50</f>
        <v>11200</v>
      </c>
      <c r="U83" s="45">
        <f>TRUNC(U47/50)*50</f>
        <v>42650</v>
      </c>
      <c r="V83" s="45">
        <f>TRUNC(V47/50)*50</f>
        <v>110100</v>
      </c>
      <c r="W83" s="45">
        <f>TRUNC(W47/50)*50</f>
        <v>178350</v>
      </c>
      <c r="X83" s="45">
        <f>TRUNC(X47/50)*50</f>
        <v>349700</v>
      </c>
      <c r="Y83" s="45"/>
      <c r="Z83" s="45" t="s">
        <v>243</v>
      </c>
      <c r="AA83" s="44">
        <f>TRUNC(AA47/25)*25</f>
        <v>7825</v>
      </c>
      <c r="AB83" s="45">
        <f>TRUNC(AB47/50)*50</f>
        <v>31850</v>
      </c>
      <c r="AC83" s="45">
        <f>TRUNC(AC47/25)*25</f>
        <v>64250</v>
      </c>
      <c r="AD83" s="45">
        <f>TRUNC(AD47/25)*25</f>
        <v>97925</v>
      </c>
      <c r="AE83" s="45">
        <f>TRUNC(AE47/25)*25</f>
        <v>174850</v>
      </c>
      <c r="AF83" s="45"/>
      <c r="AG83" s="45" t="s">
        <v>243</v>
      </c>
      <c r="AH83" s="44">
        <f>TRUNC(AH47/50)*50</f>
        <v>0</v>
      </c>
      <c r="AI83" s="45">
        <f>TRUNC(AI47/50)*50</f>
        <v>2150</v>
      </c>
      <c r="AJ83" s="45">
        <f>TRUNC(AJ47/50)*50</f>
        <v>5000</v>
      </c>
      <c r="AK83" s="45">
        <f>TRUNC(AK47/50)*50</f>
        <v>7650</v>
      </c>
      <c r="AL83" s="45">
        <f>TRUNC(AL47/50)*50</f>
        <v>10450</v>
      </c>
      <c r="AN83" s="45"/>
    </row>
    <row r="84" ht="12.75" customHeight="1" spans="1:40" x14ac:dyDescent="0.25">
      <c r="A84" s="18">
        <f>A85+1</f>
        <v>2006</v>
      </c>
      <c r="B84" s="18"/>
      <c r="C84" s="18"/>
      <c r="D84" s="79"/>
      <c r="E84" s="79"/>
      <c r="F84" s="44">
        <f>TRUNC(F48/50)*50</f>
        <v>15100</v>
      </c>
      <c r="G84" s="45">
        <f>TRUNC(G48/100)*100</f>
        <v>61300</v>
      </c>
      <c r="H84" s="45">
        <f>TRUNC(H48/50)*50</f>
        <v>123700</v>
      </c>
      <c r="I84" s="45">
        <f>TRUNC(I48/50)*50</f>
        <v>188450</v>
      </c>
      <c r="J84" s="45">
        <f>TRUNC(J48/50)*50</f>
        <v>336550</v>
      </c>
      <c r="K84" s="45"/>
      <c r="L84" s="45" t="s">
        <v>243</v>
      </c>
      <c r="M84" s="44">
        <f>TRUNC(M48/25)*25</f>
        <v>7550</v>
      </c>
      <c r="N84" s="45">
        <f>TRUNC(N48/50)*50</f>
        <v>30650</v>
      </c>
      <c r="O84" s="45">
        <f>TRUNC(O48/50)*50</f>
        <v>74200</v>
      </c>
      <c r="P84" s="45">
        <f>TRUNC(P48/50)*50</f>
        <v>154800</v>
      </c>
      <c r="Q84" s="45">
        <f>TRUNC(Q48/50)*50</f>
        <v>336550</v>
      </c>
      <c r="R84" s="45"/>
      <c r="S84" s="45" t="s">
        <v>243</v>
      </c>
      <c r="T84" s="44">
        <f>TRUNC(T48/50)*50</f>
        <v>10750</v>
      </c>
      <c r="U84" s="45">
        <f>TRUNC(U48/50)*50</f>
        <v>41050</v>
      </c>
      <c r="V84" s="45">
        <f>TRUNC(V48/50)*50</f>
        <v>106000</v>
      </c>
      <c r="W84" s="45">
        <f>TRUNC(W48/50)*50</f>
        <v>171650</v>
      </c>
      <c r="X84" s="45">
        <f>TRUNC(X48/50)*50</f>
        <v>336550</v>
      </c>
      <c r="Y84" s="45"/>
      <c r="Z84" s="45" t="s">
        <v>243</v>
      </c>
      <c r="AA84" s="44">
        <f>TRUNC(AA48/25)*25</f>
        <v>7550</v>
      </c>
      <c r="AB84" s="45">
        <f>TRUNC(AB48/50)*50</f>
        <v>30650</v>
      </c>
      <c r="AC84" s="45">
        <f>TRUNC(AC48/25)*25</f>
        <v>61850</v>
      </c>
      <c r="AD84" s="45">
        <f>TRUNC(AD48/25)*25</f>
        <v>94225</v>
      </c>
      <c r="AE84" s="45">
        <f>TRUNC(AE48/25)*25</f>
        <v>168275</v>
      </c>
      <c r="AF84" s="45"/>
      <c r="AG84" s="45" t="s">
        <v>243</v>
      </c>
      <c r="AH84" s="44">
        <f>TRUNC(AH48/50)*50</f>
        <v>0</v>
      </c>
      <c r="AI84" s="45">
        <f>TRUNC(AI48/50)*50</f>
        <v>2050</v>
      </c>
      <c r="AJ84" s="45">
        <f>TRUNC(AJ48/50)*50</f>
        <v>4850</v>
      </c>
      <c r="AK84" s="45">
        <f>TRUNC(AK48/50)*50</f>
        <v>7400</v>
      </c>
      <c r="AL84" s="45">
        <f>TRUNC(AL48/50)*50</f>
        <v>10050</v>
      </c>
      <c r="AN84" s="45"/>
    </row>
    <row r="85" ht="12.75" customHeight="1" spans="1:40" x14ac:dyDescent="0.25">
      <c r="A85" s="18">
        <f>A86+1</f>
        <v>2005</v>
      </c>
      <c r="B85" s="18"/>
      <c r="C85" s="18"/>
      <c r="D85" s="79"/>
      <c r="E85" s="79"/>
      <c r="F85" s="44">
        <f>TRUNC(F49/50)*50</f>
        <v>14600</v>
      </c>
      <c r="G85" s="45">
        <f>TRUNC(G49/100)*100</f>
        <v>59400</v>
      </c>
      <c r="H85" s="45">
        <f>TRUNC(H49/50)*50</f>
        <v>119950</v>
      </c>
      <c r="I85" s="45">
        <f>TRUNC(I49/50)*50</f>
        <v>182800</v>
      </c>
      <c r="J85" s="45">
        <f>TRUNC(J49/50)*50</f>
        <v>326450</v>
      </c>
      <c r="K85" s="45"/>
      <c r="L85" s="45" t="s">
        <v>243</v>
      </c>
      <c r="M85" s="44">
        <f>TRUNC(M49/25)*25</f>
        <v>7300</v>
      </c>
      <c r="N85" s="45">
        <f>TRUNC(N49/50)*50</f>
        <v>29700</v>
      </c>
      <c r="O85" s="45">
        <f>TRUNC(O49/50)*50</f>
        <v>71950</v>
      </c>
      <c r="P85" s="45">
        <f>TRUNC(P49/50)*50</f>
        <v>150150</v>
      </c>
      <c r="Q85" s="45">
        <f>TRUNC(Q49/50)*50</f>
        <v>326450</v>
      </c>
      <c r="R85" s="45"/>
      <c r="S85" s="45" t="s">
        <v>243</v>
      </c>
      <c r="T85" s="44">
        <f>TRUNC(T49/50)*50</f>
        <v>10450</v>
      </c>
      <c r="U85" s="45">
        <f>TRUNC(U49/50)*50</f>
        <v>39800</v>
      </c>
      <c r="V85" s="45">
        <f>TRUNC(V49/50)*50</f>
        <v>102800</v>
      </c>
      <c r="W85" s="45">
        <f>TRUNC(W49/50)*50</f>
        <v>166450</v>
      </c>
      <c r="X85" s="45">
        <f>TRUNC(X49/50)*50</f>
        <v>326450</v>
      </c>
      <c r="Y85" s="45"/>
      <c r="Z85" s="45" t="s">
        <v>243</v>
      </c>
      <c r="AA85" s="44">
        <f>TRUNC(AA49/25)*25</f>
        <v>7300</v>
      </c>
      <c r="AB85" s="45">
        <f>TRUNC(AB49/50)*50</f>
        <v>29700</v>
      </c>
      <c r="AC85" s="45">
        <f>TRUNC(AC49/25)*25</f>
        <v>59975</v>
      </c>
      <c r="AD85" s="45">
        <f>TRUNC(AD49/25)*25</f>
        <v>91400</v>
      </c>
      <c r="AE85" s="45">
        <f>TRUNC(AE49/25)*25</f>
        <v>163225</v>
      </c>
      <c r="AF85" s="45"/>
      <c r="AG85" s="45" t="s">
        <v>243</v>
      </c>
      <c r="AH85" s="44">
        <f>TRUNC(AH49/50)*50</f>
        <v>0</v>
      </c>
      <c r="AI85" s="45">
        <f>TRUNC(AI49/50)*50</f>
        <v>2000</v>
      </c>
      <c r="AJ85" s="45">
        <f>TRUNC(AJ49/50)*50</f>
        <v>4700</v>
      </c>
      <c r="AK85" s="45">
        <f>TRUNC(AK49/50)*50</f>
        <v>7150</v>
      </c>
      <c r="AL85" s="45">
        <f>TRUNC(AL49/50)*50</f>
        <v>9750</v>
      </c>
      <c r="AN85" s="45"/>
    </row>
    <row r="86" ht="12.75" customHeight="1" spans="1:40" x14ac:dyDescent="0.25">
      <c r="A86" s="18">
        <f>A87+1</f>
        <v>2004</v>
      </c>
      <c r="B86" s="18"/>
      <c r="C86" s="18"/>
      <c r="D86" s="79"/>
      <c r="E86" s="79"/>
      <c r="F86" s="44">
        <f>TRUNC(F50/50)*50</f>
        <v>14300</v>
      </c>
      <c r="G86" s="45">
        <f>TRUNC(G50/100)*100</f>
        <v>58100</v>
      </c>
      <c r="H86" s="45">
        <f>TRUNC(H50/50)*50</f>
        <v>117250</v>
      </c>
      <c r="I86" s="45">
        <f>TRUNC(I50/50)*50</f>
        <v>178650</v>
      </c>
      <c r="J86" s="45">
        <f>TRUNC(J50/50)*50</f>
        <v>319100</v>
      </c>
      <c r="K86" s="45"/>
      <c r="L86" s="45" t="s">
        <v>243</v>
      </c>
      <c r="M86" s="44">
        <f>TRUNC(M50/25)*25</f>
        <v>7150</v>
      </c>
      <c r="N86" s="45">
        <f>TRUNC(N50/50)*50</f>
        <v>29050</v>
      </c>
      <c r="O86" s="45">
        <f>TRUNC(O50/50)*50</f>
        <v>70350</v>
      </c>
      <c r="P86" s="45">
        <f>TRUNC(P50/50)*50</f>
        <v>146750</v>
      </c>
      <c r="Q86" s="45">
        <f>TRUNC(Q50/50)*50</f>
        <v>319100</v>
      </c>
      <c r="R86" s="45"/>
      <c r="S86" s="45" t="s">
        <v>243</v>
      </c>
      <c r="T86" s="44">
        <f>TRUNC(T50/50)*50</f>
        <v>10200</v>
      </c>
      <c r="U86" s="45">
        <f>TRUNC(U50/50)*50</f>
        <v>38900</v>
      </c>
      <c r="V86" s="45">
        <f>TRUNC(V50/50)*50</f>
        <v>100500</v>
      </c>
      <c r="W86" s="45">
        <f>TRUNC(W50/50)*50</f>
        <v>162700</v>
      </c>
      <c r="X86" s="45">
        <f>TRUNC(X50/50)*50</f>
        <v>319100</v>
      </c>
      <c r="Y86" s="45"/>
      <c r="Z86" s="45" t="s">
        <v>243</v>
      </c>
      <c r="AA86" s="44">
        <f>TRUNC(AA50/25)*25</f>
        <v>7150</v>
      </c>
      <c r="AB86" s="45">
        <f>TRUNC(AB50/50)*50</f>
        <v>29050</v>
      </c>
      <c r="AC86" s="45">
        <f>TRUNC(AC50/25)*25</f>
        <v>58625</v>
      </c>
      <c r="AD86" s="45">
        <f>TRUNC(AD50/25)*25</f>
        <v>89325</v>
      </c>
      <c r="AE86" s="45">
        <f>TRUNC(AE50/25)*25</f>
        <v>159550</v>
      </c>
      <c r="AF86" s="45"/>
      <c r="AG86" s="45" t="s">
        <v>243</v>
      </c>
      <c r="AH86" s="44">
        <f>TRUNC(AH50/50)*50</f>
        <v>0</v>
      </c>
      <c r="AI86" s="45">
        <f>TRUNC(AI50/50)*50</f>
        <v>1950</v>
      </c>
      <c r="AJ86" s="45">
        <f>TRUNC(AJ50/50)*50</f>
        <v>4600</v>
      </c>
      <c r="AK86" s="45">
        <f>TRUNC(AK50/50)*50</f>
        <v>7000</v>
      </c>
      <c r="AL86" s="45">
        <f>TRUNC(AL50/50)*50</f>
        <v>9550</v>
      </c>
      <c r="AN86" s="45"/>
    </row>
    <row r="87" ht="12.75" customHeight="1" spans="1:40" x14ac:dyDescent="0.25">
      <c r="A87" s="18">
        <f>A88+1</f>
        <v>2003</v>
      </c>
      <c r="B87" s="18"/>
      <c r="C87" s="18"/>
      <c r="D87" s="79"/>
      <c r="E87" s="79"/>
      <c r="F87" s="87">
        <f>TRUNC(F51/50)*50</f>
        <v>14000</v>
      </c>
      <c r="G87" s="45">
        <f>TRUNC(G51/100)*100</f>
        <v>56800</v>
      </c>
      <c r="H87" s="45">
        <f>TRUNC(H51/50)*50</f>
        <v>114650</v>
      </c>
      <c r="I87" s="45">
        <f>TRUNC(I51/50)*50</f>
        <v>174700</v>
      </c>
      <c r="J87" s="45">
        <f>TRUNC(J51/50)*50</f>
        <v>311950</v>
      </c>
      <c r="K87" s="45"/>
      <c r="L87" s="45" t="s">
        <v>243</v>
      </c>
      <c r="M87" s="87">
        <f>TRUNC(M51/25)*25</f>
        <v>7000</v>
      </c>
      <c r="N87" s="45">
        <f>TRUNC(N51/50)*50</f>
        <v>28400</v>
      </c>
      <c r="O87" s="45">
        <f>TRUNC(O51/50)*50</f>
        <v>68800</v>
      </c>
      <c r="P87" s="45">
        <f>TRUNC(P51/50)*50</f>
        <v>143500</v>
      </c>
      <c r="Q87" s="45">
        <f>TRUNC(Q51/50)*50</f>
        <v>311950</v>
      </c>
      <c r="R87" s="45"/>
      <c r="S87" s="45" t="s">
        <v>243</v>
      </c>
      <c r="T87" s="87">
        <f>TRUNC(T51/50)*50</f>
        <v>10000</v>
      </c>
      <c r="U87" s="45">
        <f>TRUNC(U51/50)*50</f>
        <v>38050</v>
      </c>
      <c r="V87" s="45">
        <f>TRUNC(V51/50)*50</f>
        <v>98250</v>
      </c>
      <c r="W87" s="45">
        <f>TRUNC(W51/50)*50</f>
        <v>159100</v>
      </c>
      <c r="X87" s="45">
        <f>TRUNC(X51/50)*50</f>
        <v>311950</v>
      </c>
      <c r="Y87" s="45"/>
      <c r="Z87" s="45" t="s">
        <v>243</v>
      </c>
      <c r="AA87" s="87">
        <f>TRUNC(AA51/25)*25</f>
        <v>7000</v>
      </c>
      <c r="AB87" s="45">
        <f>TRUNC(AB51/50)*50</f>
        <v>28400</v>
      </c>
      <c r="AC87" s="45">
        <f>TRUNC(AC51/25)*25</f>
        <v>57325</v>
      </c>
      <c r="AD87" s="45">
        <f>TRUNC(AD51/25)*25</f>
        <v>87350</v>
      </c>
      <c r="AE87" s="45">
        <f>TRUNC(AE51/25)*25</f>
        <v>155975</v>
      </c>
      <c r="AF87" s="45"/>
      <c r="AG87" s="45" t="s">
        <v>243</v>
      </c>
      <c r="AH87" s="87">
        <f>TRUNC(AH51/50)*50</f>
        <v>0</v>
      </c>
      <c r="AI87" s="45">
        <f>TRUNC(AI51/50)*50</f>
        <v>1900</v>
      </c>
      <c r="AJ87" s="45">
        <f>TRUNC(AJ51/50)*50</f>
        <v>4500</v>
      </c>
      <c r="AK87" s="45">
        <f>TRUNC(AK51/50)*50</f>
        <v>6850</v>
      </c>
      <c r="AL87" s="45">
        <f>TRUNC(AL51/50)*50</f>
        <v>9350</v>
      </c>
      <c r="AN87" s="45"/>
    </row>
    <row r="88" ht="12.75" customHeight="1" spans="1:40" x14ac:dyDescent="0.25">
      <c r="A88" s="18">
        <f>A89+1</f>
        <v>2002</v>
      </c>
      <c r="B88" s="18"/>
      <c r="C88" s="18"/>
      <c r="D88" s="79"/>
      <c r="E88" s="79"/>
      <c r="F88" s="44"/>
      <c r="G88" s="45">
        <f>TRUNC(G52/100)*100</f>
        <v>55900</v>
      </c>
      <c r="H88" s="45">
        <f>TRUNC(H52/50)*50</f>
        <v>112850</v>
      </c>
      <c r="I88" s="45">
        <f>TRUNC(I52/50)*50</f>
        <v>171950</v>
      </c>
      <c r="J88" s="45">
        <f>TRUNC(J52/50)*50</f>
        <v>307050</v>
      </c>
      <c r="K88" s="45"/>
      <c r="L88" s="45" t="s">
        <v>243</v>
      </c>
      <c r="M88" s="44"/>
      <c r="N88" s="45">
        <f>TRUNC(N52/50)*50</f>
        <v>27950</v>
      </c>
      <c r="O88" s="45">
        <f>TRUNC(O52/50)*50</f>
        <v>67700</v>
      </c>
      <c r="P88" s="45">
        <f>TRUNC(P52/50)*50</f>
        <v>141250</v>
      </c>
      <c r="Q88" s="45">
        <f>TRUNC(Q52/50)*50</f>
        <v>307050</v>
      </c>
      <c r="R88" s="45"/>
      <c r="S88" s="45" t="s">
        <v>243</v>
      </c>
      <c r="T88" s="44"/>
      <c r="U88" s="45">
        <f>TRUNC(U52/50)*50</f>
        <v>37450</v>
      </c>
      <c r="V88" s="45">
        <f>TRUNC(V52/50)*50</f>
        <v>96700</v>
      </c>
      <c r="W88" s="45">
        <f>TRUNC(W52/50)*50</f>
        <v>156600</v>
      </c>
      <c r="X88" s="45">
        <f>TRUNC(X52/50)*50</f>
        <v>307050</v>
      </c>
      <c r="Y88" s="45"/>
      <c r="Z88" s="45" t="s">
        <v>243</v>
      </c>
      <c r="AA88" s="44"/>
      <c r="AB88" s="45">
        <f>TRUNC(AB52/50)*50</f>
        <v>27950</v>
      </c>
      <c r="AC88" s="45">
        <f>TRUNC(AC52/25)*25</f>
        <v>56425</v>
      </c>
      <c r="AD88" s="45">
        <f>TRUNC(AD52/25)*25</f>
        <v>85975</v>
      </c>
      <c r="AE88" s="45">
        <f>TRUNC(AE52/25)*25</f>
        <v>153525</v>
      </c>
      <c r="AF88" s="45"/>
      <c r="AG88" s="45" t="s">
        <v>243</v>
      </c>
      <c r="AH88" s="44"/>
      <c r="AI88" s="45">
        <f>TRUNC(AI52/50)*50</f>
        <v>1850</v>
      </c>
      <c r="AJ88" s="45">
        <f>TRUNC(AJ52/50)*50</f>
        <v>4400</v>
      </c>
      <c r="AK88" s="45">
        <f>TRUNC(AK52/50)*50</f>
        <v>6750</v>
      </c>
      <c r="AL88" s="45">
        <f>TRUNC(AL52/50)*50</f>
        <v>9200</v>
      </c>
      <c r="AN88" s="45"/>
    </row>
    <row r="89" ht="12.75" customHeight="1" spans="1:40" x14ac:dyDescent="0.25">
      <c r="A89" s="18">
        <f>A90+1</f>
        <v>2001</v>
      </c>
      <c r="B89" s="18"/>
      <c r="C89" s="18"/>
      <c r="D89" s="79"/>
      <c r="E89" s="79"/>
      <c r="F89" s="44"/>
      <c r="G89" s="45">
        <f>TRUNC(G53/100)*100</f>
        <v>54100</v>
      </c>
      <c r="H89" s="45">
        <f>TRUNC(H53/50)*50</f>
        <v>109250</v>
      </c>
      <c r="I89" s="45">
        <f>TRUNC(I53/50)*50</f>
        <v>166450</v>
      </c>
      <c r="J89" s="45">
        <f>TRUNC(J53/50)*50</f>
        <v>297300</v>
      </c>
      <c r="K89" s="45"/>
      <c r="L89" s="45" t="s">
        <v>243</v>
      </c>
      <c r="M89" s="44"/>
      <c r="N89" s="45">
        <f>TRUNC(N53/50)*50</f>
        <v>27050</v>
      </c>
      <c r="O89" s="45">
        <f>TRUNC(O53/50)*50</f>
        <v>65550</v>
      </c>
      <c r="P89" s="45">
        <f>TRUNC(P53/50)*50</f>
        <v>136750</v>
      </c>
      <c r="Q89" s="45">
        <f>TRUNC(Q53/50)*50</f>
        <v>297300</v>
      </c>
      <c r="R89" s="45"/>
      <c r="S89" s="45" t="s">
        <v>243</v>
      </c>
      <c r="T89" s="44"/>
      <c r="U89" s="45">
        <f>TRUNC(U53/50)*50</f>
        <v>36250</v>
      </c>
      <c r="V89" s="45">
        <f>TRUNC(V53/50)*50</f>
        <v>93600</v>
      </c>
      <c r="W89" s="45">
        <f>TRUNC(W53/50)*50</f>
        <v>151600</v>
      </c>
      <c r="X89" s="45">
        <f>TRUNC(X53/50)*50</f>
        <v>297300</v>
      </c>
      <c r="Y89" s="45"/>
      <c r="Z89" s="45" t="s">
        <v>243</v>
      </c>
      <c r="AA89" s="44"/>
      <c r="AB89" s="45">
        <f>TRUNC(AB53/50)*50</f>
        <v>27050</v>
      </c>
      <c r="AC89" s="45">
        <f>TRUNC(AC53/25)*25</f>
        <v>54625</v>
      </c>
      <c r="AD89" s="45">
        <f>TRUNC(AD53/25)*25</f>
        <v>83225</v>
      </c>
      <c r="AE89" s="45">
        <f>TRUNC(AE53/25)*25</f>
        <v>148650</v>
      </c>
      <c r="AF89" s="45"/>
      <c r="AG89" s="45" t="s">
        <v>243</v>
      </c>
      <c r="AH89" s="44"/>
      <c r="AI89" s="45">
        <f>TRUNC(AI53/50)*50</f>
        <v>1800</v>
      </c>
      <c r="AJ89" s="45">
        <f>TRUNC(AJ53/50)*50</f>
        <v>4250</v>
      </c>
      <c r="AK89" s="45">
        <f>TRUNC(AK53/50)*50</f>
        <v>6500</v>
      </c>
      <c r="AL89" s="45">
        <f>TRUNC(AL53/50)*50</f>
        <v>8900</v>
      </c>
      <c r="AN89" s="45"/>
    </row>
    <row r="90" ht="12.75" customHeight="1" spans="1:40" x14ac:dyDescent="0.25">
      <c r="A90" s="18">
        <f>A91+1</f>
        <v>2000</v>
      </c>
      <c r="B90" s="18"/>
      <c r="C90" s="18"/>
      <c r="D90" s="79"/>
      <c r="E90" s="79"/>
      <c r="F90" s="44"/>
      <c r="G90" s="45">
        <f>TRUNC(G54/100)*100</f>
        <v>52500</v>
      </c>
      <c r="H90" s="45">
        <f>TRUNC(H54/50)*50</f>
        <v>105950</v>
      </c>
      <c r="I90" s="45">
        <f>TRUNC(I54/50)*50</f>
        <v>161450</v>
      </c>
      <c r="J90" s="45">
        <f>TRUNC(J54/50)*50</f>
        <v>288350</v>
      </c>
      <c r="K90" s="45"/>
      <c r="L90" s="45" t="s">
        <v>243</v>
      </c>
      <c r="M90" s="44"/>
      <c r="N90" s="45">
        <f>TRUNC(N54/50)*50</f>
        <v>26250</v>
      </c>
      <c r="O90" s="45">
        <f>TRUNC(O54/50)*50</f>
        <v>63550</v>
      </c>
      <c r="P90" s="45">
        <f>TRUNC(P54/50)*50</f>
        <v>132600</v>
      </c>
      <c r="Q90" s="45">
        <f>TRUNC(Q54/50)*50</f>
        <v>288350</v>
      </c>
      <c r="R90" s="45"/>
      <c r="S90" s="45" t="s">
        <v>243</v>
      </c>
      <c r="T90" s="44"/>
      <c r="U90" s="45">
        <f>TRUNC(U54/50)*50</f>
        <v>35150</v>
      </c>
      <c r="V90" s="45">
        <f>TRUNC(V54/50)*50</f>
        <v>90800</v>
      </c>
      <c r="W90" s="45">
        <f>TRUNC(W54/50)*50</f>
        <v>147050</v>
      </c>
      <c r="X90" s="45">
        <f>TRUNC(X54/50)*50</f>
        <v>288350</v>
      </c>
      <c r="Y90" s="45"/>
      <c r="Z90" s="45" t="s">
        <v>243</v>
      </c>
      <c r="AA90" s="44"/>
      <c r="AB90" s="45">
        <f>TRUNC(AB54/50)*50</f>
        <v>26250</v>
      </c>
      <c r="AC90" s="45">
        <f>TRUNC(AC54/25)*25</f>
        <v>52975</v>
      </c>
      <c r="AD90" s="45">
        <f>TRUNC(AD54/25)*25</f>
        <v>80725</v>
      </c>
      <c r="AE90" s="45">
        <f>TRUNC(AE54/25)*25</f>
        <v>144175</v>
      </c>
      <c r="AF90" s="45"/>
      <c r="AG90" s="45" t="s">
        <v>243</v>
      </c>
      <c r="AH90" s="44"/>
      <c r="AI90" s="45">
        <f>TRUNC(AI54/50)*50</f>
        <v>1750</v>
      </c>
      <c r="AJ90" s="45">
        <f>TRUNC(AJ54/50)*50</f>
        <v>4150</v>
      </c>
      <c r="AK90" s="45">
        <f>TRUNC(AK54/50)*50</f>
        <v>6300</v>
      </c>
      <c r="AL90" s="45">
        <f>TRUNC(AL54/50)*50</f>
        <v>8650</v>
      </c>
      <c r="AN90" s="45"/>
    </row>
    <row r="91" ht="12.75" customHeight="1" spans="1:40" x14ac:dyDescent="0.25">
      <c r="A91" s="18">
        <f>A92+1</f>
        <v>1999</v>
      </c>
      <c r="B91" s="18"/>
      <c r="C91" s="18"/>
      <c r="D91" s="79"/>
      <c r="E91" s="79"/>
      <c r="F91" s="44"/>
      <c r="G91" s="45">
        <f>TRUNC(G55/100)*100</f>
        <v>51500</v>
      </c>
      <c r="H91" s="45">
        <f>TRUNC(H55/50)*50</f>
        <v>104050</v>
      </c>
      <c r="I91" s="45">
        <f>TRUNC(I55/50)*50</f>
        <v>158550</v>
      </c>
      <c r="J91" s="45">
        <f>TRUNC(J55/50)*50</f>
        <v>283150</v>
      </c>
      <c r="K91" s="45"/>
      <c r="L91" s="45" t="s">
        <v>243</v>
      </c>
      <c r="M91" s="44"/>
      <c r="N91" s="45">
        <f>TRUNC(N55/50)*50</f>
        <v>25750</v>
      </c>
      <c r="O91" s="45">
        <f>TRUNC(O55/50)*50</f>
        <v>62450</v>
      </c>
      <c r="P91" s="45">
        <f>TRUNC(P55/50)*50</f>
        <v>130250</v>
      </c>
      <c r="Q91" s="45">
        <f>TRUNC(Q55/50)*50</f>
        <v>283150</v>
      </c>
      <c r="R91" s="45"/>
      <c r="S91" s="45" t="s">
        <v>243</v>
      </c>
      <c r="T91" s="44"/>
      <c r="U91" s="45">
        <f>TRUNC(U55/50)*50</f>
        <v>34550</v>
      </c>
      <c r="V91" s="45">
        <f>TRUNC(V55/50)*50</f>
        <v>89150</v>
      </c>
      <c r="W91" s="45">
        <f>TRUNC(W55/50)*50</f>
        <v>144400</v>
      </c>
      <c r="X91" s="45">
        <f>TRUNC(X55/50)*50</f>
        <v>283150</v>
      </c>
      <c r="Y91" s="45"/>
      <c r="Z91" s="45" t="s">
        <v>243</v>
      </c>
      <c r="AA91" s="44"/>
      <c r="AB91" s="45">
        <f>TRUNC(AB55/50)*50</f>
        <v>25750</v>
      </c>
      <c r="AC91" s="45">
        <f>TRUNC(AC55/25)*25</f>
        <v>52025</v>
      </c>
      <c r="AD91" s="45">
        <f>TRUNC(AD55/25)*25</f>
        <v>79275</v>
      </c>
      <c r="AE91" s="45">
        <f>TRUNC(AE55/25)*25</f>
        <v>141575</v>
      </c>
      <c r="AF91" s="45"/>
      <c r="AG91" s="45" t="s">
        <v>243</v>
      </c>
      <c r="AH91" s="44"/>
      <c r="AI91" s="45">
        <f>TRUNC(AI55/50)*50</f>
        <v>1750</v>
      </c>
      <c r="AJ91" s="45">
        <f>TRUNC(AJ55/50)*50</f>
        <v>4050</v>
      </c>
      <c r="AK91" s="45">
        <f>TRUNC(AK55/50)*50</f>
        <v>6200</v>
      </c>
      <c r="AL91" s="45">
        <f>TRUNC(AL55/50)*50</f>
        <v>8450</v>
      </c>
      <c r="AN91" s="45"/>
    </row>
    <row r="92" ht="12.75" customHeight="1" spans="1:40" x14ac:dyDescent="0.25">
      <c r="A92" s="18">
        <f>A93+1</f>
        <v>1998</v>
      </c>
      <c r="B92" s="18"/>
      <c r="C92" s="18"/>
      <c r="D92" s="79"/>
      <c r="E92" s="79"/>
      <c r="F92" s="44"/>
      <c r="G92" s="45">
        <f>TRUNC(G56/100)*100</f>
        <v>50700</v>
      </c>
      <c r="H92" s="45">
        <f>TRUNC(H56/50)*50</f>
        <v>102300</v>
      </c>
      <c r="I92" s="45">
        <f>TRUNC(I56/50)*50</f>
        <v>155950</v>
      </c>
      <c r="J92" s="45">
        <f>TRUNC(J56/50)*50</f>
        <v>278450</v>
      </c>
      <c r="K92" s="45"/>
      <c r="L92" s="45" t="s">
        <v>243</v>
      </c>
      <c r="M92" s="44"/>
      <c r="N92" s="45">
        <f>TRUNC(N56/50)*50</f>
        <v>25350</v>
      </c>
      <c r="O92" s="45">
        <f>TRUNC(O56/50)*50</f>
        <v>61400</v>
      </c>
      <c r="P92" s="45">
        <f>TRUNC(P56/50)*50</f>
        <v>128100</v>
      </c>
      <c r="Q92" s="45">
        <f>TRUNC(Q56/50)*50</f>
        <v>278450</v>
      </c>
      <c r="R92" s="45"/>
      <c r="S92" s="45" t="s">
        <v>243</v>
      </c>
      <c r="T92" s="44"/>
      <c r="U92" s="45">
        <f>TRUNC(U56/50)*50</f>
        <v>33950</v>
      </c>
      <c r="V92" s="45">
        <f>TRUNC(V56/50)*50</f>
        <v>87700</v>
      </c>
      <c r="W92" s="45">
        <f>TRUNC(W56/50)*50</f>
        <v>142000</v>
      </c>
      <c r="X92" s="45">
        <f>TRUNC(X56/50)*50</f>
        <v>278450</v>
      </c>
      <c r="Y92" s="45"/>
      <c r="Z92" s="45" t="s">
        <v>243</v>
      </c>
      <c r="AA92" s="44"/>
      <c r="AB92" s="45">
        <f>TRUNC(AB56/50)*50</f>
        <v>25350</v>
      </c>
      <c r="AC92" s="45">
        <f>TRUNC(AC56/25)*25</f>
        <v>51150</v>
      </c>
      <c r="AD92" s="45">
        <f>TRUNC(AD56/25)*25</f>
        <v>77975</v>
      </c>
      <c r="AE92" s="45">
        <f>TRUNC(AE56/25)*25</f>
        <v>139225</v>
      </c>
      <c r="AF92" s="45"/>
      <c r="AG92" s="45" t="s">
        <v>243</v>
      </c>
      <c r="AH92" s="44"/>
      <c r="AI92" s="45">
        <f>TRUNC(AI56/50)*50</f>
        <v>1700</v>
      </c>
      <c r="AJ92" s="45">
        <f>TRUNC(AJ56/50)*50</f>
        <v>4000</v>
      </c>
      <c r="AK92" s="45">
        <f>TRUNC(AK56/50)*50</f>
        <v>6100</v>
      </c>
      <c r="AL92" s="45">
        <f>TRUNC(AL56/50)*50</f>
        <v>8350</v>
      </c>
      <c r="AN92" s="45"/>
    </row>
    <row r="93" ht="12.75" customHeight="1" spans="1:40" x14ac:dyDescent="0.25">
      <c r="A93" s="18">
        <f>A94+1</f>
        <v>1997</v>
      </c>
      <c r="B93" s="18"/>
      <c r="C93" s="18"/>
      <c r="D93" s="79"/>
      <c r="E93" s="79"/>
      <c r="F93" s="44"/>
      <c r="G93" s="45">
        <f>TRUNC(G57/100)*100</f>
        <v>49300</v>
      </c>
      <c r="H93" s="45">
        <f>TRUNC(H57/50)*50</f>
        <v>99600</v>
      </c>
      <c r="I93" s="45">
        <f>TRUNC(I57/50)*50</f>
        <v>151750</v>
      </c>
      <c r="J93" s="45">
        <f>TRUNC(J57/50)*50</f>
        <v>271050</v>
      </c>
      <c r="K93" s="45"/>
      <c r="L93" s="45" t="s">
        <v>243</v>
      </c>
      <c r="M93" s="44"/>
      <c r="N93" s="45">
        <f>TRUNC(N57/50)*50</f>
        <v>24650</v>
      </c>
      <c r="O93" s="45">
        <f>TRUNC(O57/50)*50</f>
        <v>59750</v>
      </c>
      <c r="P93" s="45">
        <f>TRUNC(P57/50)*50</f>
        <v>124650</v>
      </c>
      <c r="Q93" s="45">
        <f>TRUNC(Q57/50)*50</f>
        <v>271050</v>
      </c>
      <c r="R93" s="45"/>
      <c r="S93" s="45" t="s">
        <v>243</v>
      </c>
      <c r="T93" s="44"/>
      <c r="U93" s="45">
        <f>TRUNC(U57/50)*50</f>
        <v>33050</v>
      </c>
      <c r="V93" s="45">
        <f>TRUNC(V57/50)*50</f>
        <v>85350</v>
      </c>
      <c r="W93" s="45">
        <f>TRUNC(W57/50)*50</f>
        <v>138200</v>
      </c>
      <c r="X93" s="45">
        <f>TRUNC(X57/50)*50</f>
        <v>271050</v>
      </c>
      <c r="Y93" s="45"/>
      <c r="Z93" s="45" t="s">
        <v>243</v>
      </c>
      <c r="AA93" s="44"/>
      <c r="AB93" s="45">
        <f>TRUNC(AB57/50)*50</f>
        <v>24650</v>
      </c>
      <c r="AC93" s="45">
        <f>TRUNC(AC57/25)*25</f>
        <v>49800</v>
      </c>
      <c r="AD93" s="45">
        <f>TRUNC(AD57/25)*25</f>
        <v>75875</v>
      </c>
      <c r="AE93" s="45">
        <f>TRUNC(AE57/25)*25</f>
        <v>135525</v>
      </c>
      <c r="AF93" s="45"/>
      <c r="AG93" s="45" t="s">
        <v>243</v>
      </c>
      <c r="AH93" s="44"/>
      <c r="AI93" s="45">
        <f>TRUNC(AI57/50)*50</f>
        <v>1650</v>
      </c>
      <c r="AJ93" s="45">
        <f>TRUNC(AJ57/50)*50</f>
        <v>3900</v>
      </c>
      <c r="AK93" s="45">
        <f>TRUNC(AK57/50)*50</f>
        <v>5950</v>
      </c>
      <c r="AL93" s="45">
        <f>TRUNC(AL57/50)*50</f>
        <v>8100</v>
      </c>
      <c r="AN93" s="45"/>
    </row>
    <row r="94" ht="12.75" customHeight="1" spans="1:40" x14ac:dyDescent="0.25">
      <c r="A94" s="18">
        <f>A95+1</f>
        <v>1996</v>
      </c>
      <c r="B94" s="18"/>
      <c r="C94" s="18"/>
      <c r="D94" s="79"/>
      <c r="E94" s="79"/>
      <c r="F94" s="44"/>
      <c r="G94" s="45">
        <f>TRUNC(G58/100)*100</f>
        <v>48000</v>
      </c>
      <c r="H94" s="45">
        <f>TRUNC(H58/50)*50</f>
        <v>96900</v>
      </c>
      <c r="I94" s="45">
        <f>TRUNC(I58/50)*50</f>
        <v>147700</v>
      </c>
      <c r="J94" s="45">
        <f>TRUNC(J58/50)*50</f>
        <v>263750</v>
      </c>
      <c r="K94" s="45"/>
      <c r="L94" s="45" t="s">
        <v>243</v>
      </c>
      <c r="M94" s="44"/>
      <c r="N94" s="45">
        <f>TRUNC(N58/50)*50</f>
        <v>24000</v>
      </c>
      <c r="O94" s="45">
        <f>TRUNC(O58/50)*50</f>
        <v>58150</v>
      </c>
      <c r="P94" s="45">
        <f>TRUNC(P58/50)*50</f>
        <v>121300</v>
      </c>
      <c r="Q94" s="45">
        <f>TRUNC(Q58/50)*50</f>
        <v>263750</v>
      </c>
      <c r="R94" s="45"/>
      <c r="S94" s="45" t="s">
        <v>243</v>
      </c>
      <c r="T94" s="44"/>
      <c r="U94" s="45">
        <f>TRUNC(U58/50)*50</f>
        <v>32150</v>
      </c>
      <c r="V94" s="45">
        <f>TRUNC(V58/50)*50</f>
        <v>83050</v>
      </c>
      <c r="W94" s="45">
        <f>TRUNC(W58/50)*50</f>
        <v>134500</v>
      </c>
      <c r="X94" s="45">
        <f>TRUNC(X58/50)*50</f>
        <v>263750</v>
      </c>
      <c r="Y94" s="45"/>
      <c r="Z94" s="45" t="s">
        <v>243</v>
      </c>
      <c r="AA94" s="44"/>
      <c r="AB94" s="45">
        <f>TRUNC(AB58/50)*50</f>
        <v>24000</v>
      </c>
      <c r="AC94" s="45">
        <f>TRUNC(AC58/25)*25</f>
        <v>48450</v>
      </c>
      <c r="AD94" s="45">
        <f>TRUNC(AD58/25)*25</f>
        <v>73850</v>
      </c>
      <c r="AE94" s="45">
        <f>TRUNC(AE58/25)*25</f>
        <v>131875</v>
      </c>
      <c r="AF94" s="45"/>
      <c r="AG94" s="45" t="s">
        <v>243</v>
      </c>
      <c r="AH94" s="44"/>
      <c r="AI94" s="45">
        <f>TRUNC(AI58/50)*50</f>
        <v>1600</v>
      </c>
      <c r="AJ94" s="45">
        <f>TRUNC(AJ58/50)*50</f>
        <v>3800</v>
      </c>
      <c r="AK94" s="45">
        <f>TRUNC(AK58/50)*50</f>
        <v>5800</v>
      </c>
      <c r="AL94" s="45">
        <f>TRUNC(AL58/50)*50</f>
        <v>7900</v>
      </c>
      <c r="AN94" s="45"/>
    </row>
    <row r="95" ht="12.75" customHeight="1" spans="1:40" x14ac:dyDescent="0.25">
      <c r="A95" s="18">
        <f>A96+1</f>
        <v>1995</v>
      </c>
      <c r="B95" s="18"/>
      <c r="C95" s="18"/>
      <c r="D95" s="79"/>
      <c r="E95" s="79"/>
      <c r="F95" s="44"/>
      <c r="G95" s="45">
        <f>TRUNC(G59/100)*100</f>
        <v>46700</v>
      </c>
      <c r="H95" s="45">
        <f>TRUNC(H59/50)*50</f>
        <v>94250</v>
      </c>
      <c r="I95" s="45">
        <f>TRUNC(I59/50)*50</f>
        <v>143600</v>
      </c>
      <c r="J95" s="45">
        <f>TRUNC(J59/50)*50</f>
        <v>256500</v>
      </c>
      <c r="K95" s="45"/>
      <c r="L95" s="45" t="s">
        <v>243</v>
      </c>
      <c r="M95" s="44"/>
      <c r="N95" s="45">
        <f>TRUNC(N59/50)*50</f>
        <v>23350</v>
      </c>
      <c r="O95" s="45">
        <f>TRUNC(O59/50)*50</f>
        <v>56550</v>
      </c>
      <c r="P95" s="45">
        <f>TRUNC(P59/50)*50</f>
        <v>117950</v>
      </c>
      <c r="Q95" s="45">
        <f>TRUNC(Q59/50)*50</f>
        <v>256500</v>
      </c>
      <c r="R95" s="45"/>
      <c r="S95" s="45" t="s">
        <v>243</v>
      </c>
      <c r="T95" s="44"/>
      <c r="U95" s="45">
        <f>TRUNC(U59/50)*50</f>
        <v>31250</v>
      </c>
      <c r="V95" s="45">
        <f>TRUNC(V59/50)*50</f>
        <v>80750</v>
      </c>
      <c r="W95" s="45">
        <f>TRUNC(W59/50)*50</f>
        <v>130800</v>
      </c>
      <c r="X95" s="45">
        <f>TRUNC(X59/50)*50</f>
        <v>256500</v>
      </c>
      <c r="Y95" s="45"/>
      <c r="Z95" s="45" t="s">
        <v>243</v>
      </c>
      <c r="AA95" s="44"/>
      <c r="AB95" s="45">
        <f>TRUNC(AB59/50)*50</f>
        <v>23350</v>
      </c>
      <c r="AC95" s="45">
        <f>TRUNC(AC59/25)*25</f>
        <v>47125</v>
      </c>
      <c r="AD95" s="45">
        <f>TRUNC(AD59/25)*25</f>
        <v>71800</v>
      </c>
      <c r="AE95" s="45">
        <f>TRUNC(AE59/25)*25</f>
        <v>128250</v>
      </c>
      <c r="AF95" s="45"/>
      <c r="AG95" s="45" t="s">
        <v>243</v>
      </c>
      <c r="AH95" s="44"/>
      <c r="AI95" s="45">
        <f>TRUNC(AI59/50)*50</f>
        <v>1550</v>
      </c>
      <c r="AJ95" s="45">
        <f>TRUNC(AJ59/50)*50</f>
        <v>3700</v>
      </c>
      <c r="AK95" s="45">
        <f>TRUNC(AK59/50)*50</f>
        <v>5600</v>
      </c>
      <c r="AL95" s="45">
        <f>TRUNC(AL59/50)*50</f>
        <v>7650</v>
      </c>
      <c r="AN95" s="45"/>
    </row>
    <row r="96" ht="12.75" customHeight="1" spans="1:40" x14ac:dyDescent="0.25">
      <c r="A96" s="18">
        <f>A97+1</f>
        <v>1994</v>
      </c>
      <c r="B96" s="18"/>
      <c r="C96" s="18"/>
      <c r="D96" s="79"/>
      <c r="E96" s="79"/>
      <c r="F96" s="44"/>
      <c r="G96" s="45">
        <f>TRUNC(G60/100)*100</f>
        <v>45500</v>
      </c>
      <c r="H96" s="45">
        <f>TRUNC(H60/50)*50</f>
        <v>91850</v>
      </c>
      <c r="I96" s="88">
        <f>TRUNC(I60/50)*50</f>
        <v>140000</v>
      </c>
      <c r="J96" s="88">
        <f>TRUNC(J60/50)*50</f>
        <v>250000</v>
      </c>
      <c r="K96" s="88"/>
      <c r="L96" s="45" t="s">
        <v>243</v>
      </c>
      <c r="M96" s="44"/>
      <c r="N96" s="45">
        <f>TRUNC(N60/50)*50</f>
        <v>22750</v>
      </c>
      <c r="O96" s="45">
        <f>TRUNC(O60/50)*50</f>
        <v>55100</v>
      </c>
      <c r="P96" s="88">
        <f>TRUNC(P60/50)*50</f>
        <v>115000</v>
      </c>
      <c r="Q96" s="88">
        <f>TRUNC(Q60/50)*50</f>
        <v>250000</v>
      </c>
      <c r="R96" s="88"/>
      <c r="S96" s="88" t="s">
        <v>243</v>
      </c>
      <c r="T96" s="44"/>
      <c r="U96" s="45">
        <f>TRUNC(U60/50)*50</f>
        <v>30500</v>
      </c>
      <c r="V96" s="45">
        <f>TRUNC(V60/50)*50</f>
        <v>78700</v>
      </c>
      <c r="W96" s="88">
        <f>TRUNC(W60/50)*50</f>
        <v>127500</v>
      </c>
      <c r="X96" s="88">
        <f>TRUNC(X60/50)*50</f>
        <v>250000</v>
      </c>
      <c r="Y96" s="88"/>
      <c r="Z96" s="88" t="s">
        <v>243</v>
      </c>
      <c r="AA96" s="44"/>
      <c r="AB96" s="45">
        <f>TRUNC(AB60/50)*50</f>
        <v>22750</v>
      </c>
      <c r="AC96" s="45">
        <f>TRUNC(AC60/25)*25</f>
        <v>45925</v>
      </c>
      <c r="AD96" s="88">
        <f>TRUNC(AD60/25)*25</f>
        <v>70000</v>
      </c>
      <c r="AE96" s="88">
        <f>TRUNC(AE60/25)*25</f>
        <v>125000</v>
      </c>
      <c r="AF96" s="88"/>
      <c r="AG96" s="88" t="s">
        <v>243</v>
      </c>
      <c r="AH96" s="44"/>
      <c r="AI96" s="45">
        <f>TRUNC(AI60/50)*50</f>
        <v>1500</v>
      </c>
      <c r="AJ96" s="45">
        <f>TRUNC(AJ60/50)*50</f>
        <v>3600</v>
      </c>
      <c r="AK96" s="88">
        <f>TRUNC(AK60/50)*50</f>
        <v>5500</v>
      </c>
      <c r="AL96" s="88">
        <f>TRUNC(AL60/50)*50</f>
        <v>7500</v>
      </c>
      <c r="AN96" s="88"/>
    </row>
    <row r="97" ht="12.75" customHeight="1" spans="1:39" x14ac:dyDescent="0.25">
      <c r="A97" s="18">
        <v>1993</v>
      </c>
      <c r="B97" s="18"/>
      <c r="C97" s="18"/>
      <c r="D97" s="79"/>
      <c r="E97" s="79"/>
      <c r="F97" s="87"/>
      <c r="G97" s="88">
        <f>TRUNC(G61/100)*100</f>
        <v>44200</v>
      </c>
      <c r="H97" s="88">
        <f>TRUNC(H61/50)*50</f>
        <v>89150</v>
      </c>
      <c r="I97" s="90"/>
      <c r="J97" s="89"/>
      <c r="K97" s="89"/>
      <c r="L97" s="89"/>
      <c r="M97" s="87"/>
      <c r="N97" s="88">
        <f>TRUNC(N61/50)*50</f>
        <v>22100</v>
      </c>
      <c r="O97" s="88">
        <f>TRUNC(O61/50)*50</f>
        <v>53500</v>
      </c>
      <c r="P97" s="90"/>
      <c r="Q97" s="89"/>
      <c r="R97" s="89"/>
      <c r="S97" s="89"/>
      <c r="T97" s="87"/>
      <c r="U97" s="88">
        <f>TRUNC(U61/50)*50</f>
        <v>29600</v>
      </c>
      <c r="V97" s="88">
        <f>TRUNC(V61/50)*50</f>
        <v>76400</v>
      </c>
      <c r="W97" s="90"/>
      <c r="X97" s="89"/>
      <c r="Y97" s="89"/>
      <c r="Z97" s="89"/>
      <c r="AA97" s="87"/>
      <c r="AB97" s="88">
        <f>TRUNC(AB61/50)*50</f>
        <v>22100</v>
      </c>
      <c r="AC97" s="88">
        <f>TRUNC(AC61/25)*25</f>
        <v>44575</v>
      </c>
      <c r="AD97" s="90"/>
      <c r="AE97" s="89"/>
      <c r="AF97" s="89"/>
      <c r="AG97" s="89"/>
      <c r="AH97" s="87"/>
      <c r="AI97" s="88">
        <f>TRUNC(AI61/50)*50</f>
        <v>1500</v>
      </c>
      <c r="AJ97" s="88">
        <f>TRUNC(AJ61/50)*50</f>
        <v>3500</v>
      </c>
      <c r="AK97" s="90"/>
      <c r="AL97" s="89"/>
      <c r="AM97" s="89"/>
    </row>
    <row r="98" ht="12.75" customHeight="1" spans="6:27" x14ac:dyDescent="0.25">
      <c r="F98" s="45" t="s">
        <v>256</v>
      </c>
      <c r="M98" s="16" t="s">
        <v>259</v>
      </c>
      <c r="AA98" s="16" t="s">
        <v>245</v>
      </c>
    </row>
    <row r="99" ht="12.75" customHeight="1" spans="6:6" x14ac:dyDescent="0.25">
      <c r="F99" s="45" t="s">
        <v>257</v>
      </c>
    </row>
  </sheetData>
  <pageMargins left="0.75" right="0.75" top="1" bottom="1" header="0.511811023622047" footer="0.511811023622047"/>
  <pageSetup paperSize="1" orientation="landscape" horizontalDpi="300" verticalDpi="300" scale="94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"/>
  <sheetViews>
    <sheetView workbookViewId="0" zoomScale="100" zoomScaleNormal="100" view="normal">
      <pane xSplit="1" topLeftCell="B1" activePane="topRight" state="frozen"/>
      <selection pane="topRight" activeCell="C12" sqref="C12"/>
    </sheetView>
  </sheetViews>
  <sheetFormatPr defaultRowHeight="12.75" outlineLevelRow="0" outlineLevelCol="0" x14ac:dyDescent="0" defaultColWidth="8.83203125" customHeight="1"/>
  <cols>
    <col min="1" max="5" width="8.83" style="143" customWidth="1"/>
    <col min="6" max="6" width="15.51" style="143" customWidth="1"/>
    <col min="7" max="8" width="11.33" style="143" customWidth="1"/>
    <col min="9" max="9" width="12.83" style="143" customWidth="1"/>
    <col min="10" max="11" width="11.67" style="143" customWidth="1"/>
    <col min="12" max="12" width="10.16" style="143" customWidth="1"/>
    <col min="13" max="13" width="8.5" style="143" customWidth="1"/>
    <col min="14" max="16" width="10.16" style="143" customWidth="1"/>
    <col min="17" max="19" width="11.16" style="143" customWidth="1"/>
    <col min="20" max="20" width="8.5" style="143" customWidth="1"/>
    <col min="21" max="16384" width="8.83" style="143" customWidth="1"/>
  </cols>
  <sheetData>
    <row r="1" ht="33" customHeight="1" spans="4:7" x14ac:dyDescent="0.25">
      <c r="D1" s="144" t="s">
        <v>260</v>
      </c>
      <c r="E1" s="144"/>
      <c r="G1" s="145">
        <v>0.0264</v>
      </c>
    </row>
    <row r="2" ht="33" customHeight="1" spans="4:18" x14ac:dyDescent="0.25">
      <c r="D2" s="144"/>
      <c r="E2" s="144"/>
      <c r="G2" s="145"/>
      <c r="H2" s="146" t="s">
        <v>36</v>
      </c>
      <c r="I2" s="146"/>
      <c r="J2" s="146"/>
      <c r="K2" s="146"/>
      <c r="O2" s="146" t="s">
        <v>27</v>
      </c>
      <c r="P2" s="146"/>
      <c r="Q2" s="146"/>
      <c r="R2" s="146"/>
    </row>
    <row r="3" ht="13.5" customHeight="1" spans="6:19" x14ac:dyDescent="0.25">
      <c r="F3" s="143" t="s">
        <v>261</v>
      </c>
      <c r="G3" s="143">
        <v>2003</v>
      </c>
      <c r="H3" s="143">
        <v>1993</v>
      </c>
      <c r="I3" s="143">
        <v>1993</v>
      </c>
      <c r="J3" s="143">
        <v>1994</v>
      </c>
      <c r="K3" s="143">
        <v>1994</v>
      </c>
      <c r="L3" s="143">
        <v>2013</v>
      </c>
      <c r="N3" s="143">
        <v>2003</v>
      </c>
      <c r="O3" s="143">
        <v>1993</v>
      </c>
      <c r="P3" s="143">
        <v>1993</v>
      </c>
      <c r="Q3" s="143">
        <v>1994</v>
      </c>
      <c r="R3" s="143">
        <v>1994</v>
      </c>
      <c r="S3" s="143">
        <v>2013</v>
      </c>
    </row>
    <row r="4" ht="30" customHeight="1" spans="1:20" x14ac:dyDescent="0.25">
      <c r="A4" s="147" t="s">
        <v>6</v>
      </c>
      <c r="B4" s="148" t="s">
        <v>262</v>
      </c>
      <c r="C4" s="147" t="s">
        <v>263</v>
      </c>
      <c r="D4" s="147" t="s">
        <v>264</v>
      </c>
      <c r="E4" s="147" t="s">
        <v>265</v>
      </c>
      <c r="F4" s="147" t="s">
        <v>235</v>
      </c>
      <c r="G4" s="149" t="s">
        <v>236</v>
      </c>
      <c r="H4" s="150" t="s">
        <v>237</v>
      </c>
      <c r="I4" s="150" t="s">
        <v>238</v>
      </c>
      <c r="J4" s="150" t="s">
        <v>239</v>
      </c>
      <c r="K4" s="150" t="s">
        <v>240</v>
      </c>
      <c r="L4" s="150" t="s">
        <v>241</v>
      </c>
      <c r="M4" s="150" t="s">
        <v>242</v>
      </c>
      <c r="N4" s="149" t="s">
        <v>236</v>
      </c>
      <c r="O4" s="150" t="s">
        <v>237</v>
      </c>
      <c r="P4" s="150" t="s">
        <v>238</v>
      </c>
      <c r="Q4" s="150" t="s">
        <v>239</v>
      </c>
      <c r="R4" s="150" t="s">
        <v>240</v>
      </c>
      <c r="S4" s="150" t="s">
        <v>241</v>
      </c>
      <c r="T4" s="150" t="s">
        <v>242</v>
      </c>
    </row>
    <row r="5" ht="28.5" customHeight="1" spans="1:20" x14ac:dyDescent="0.25">
      <c r="A5" s="151" t="s">
        <v>266</v>
      </c>
      <c r="B5" s="151"/>
      <c r="C5" s="151"/>
      <c r="D5" s="151"/>
      <c r="E5" s="151"/>
      <c r="F5" s="151"/>
      <c r="G5" s="152">
        <v>14000</v>
      </c>
      <c r="H5" s="153">
        <v>44200</v>
      </c>
      <c r="I5" s="153">
        <v>89150</v>
      </c>
      <c r="J5" s="153">
        <v>140000</v>
      </c>
      <c r="K5" s="153">
        <v>250000</v>
      </c>
      <c r="L5" s="153">
        <v>450000</v>
      </c>
      <c r="M5" s="154"/>
      <c r="N5" s="152">
        <v>7000</v>
      </c>
      <c r="O5" s="153">
        <v>22100</v>
      </c>
      <c r="P5" s="153">
        <v>53500</v>
      </c>
      <c r="Q5" s="153">
        <v>115000</v>
      </c>
      <c r="R5" s="153">
        <v>250000</v>
      </c>
      <c r="S5" s="153">
        <v>400000</v>
      </c>
      <c r="T5" s="154"/>
    </row>
    <row r="6" ht="12.75" customHeight="1" spans="1:20" x14ac:dyDescent="0.25">
      <c r="A6" s="155">
        <v>2018</v>
      </c>
      <c r="B6" s="155"/>
      <c r="C6" s="155"/>
      <c r="D6" s="155"/>
      <c r="E6" s="155"/>
      <c r="F6" s="156">
        <f>'CPI-U &amp; C-CPI-U Calcs'!$F6</f>
        <v>0</v>
      </c>
      <c r="G6" s="152">
        <v>19050</v>
      </c>
      <c r="H6" s="153">
        <v>77400</v>
      </c>
      <c r="I6" s="153">
        <v>165000</v>
      </c>
      <c r="J6" s="153">
        <v>315000</v>
      </c>
      <c r="K6" s="153">
        <v>400000</v>
      </c>
      <c r="L6" s="153">
        <v>600000</v>
      </c>
      <c r="M6" s="153" t="s">
        <v>243</v>
      </c>
      <c r="N6" s="152">
        <v>9525</v>
      </c>
      <c r="O6" s="153">
        <v>38700</v>
      </c>
      <c r="P6" s="153">
        <v>82500</v>
      </c>
      <c r="Q6" s="153">
        <v>157500</v>
      </c>
      <c r="R6" s="153">
        <v>200000</v>
      </c>
      <c r="S6" s="153">
        <v>500000</v>
      </c>
      <c r="T6" s="153" t="s">
        <v>243</v>
      </c>
    </row>
    <row r="7" ht="12.75" customHeight="1" spans="1:20" s="157" customFormat="1" x14ac:dyDescent="0.25">
      <c r="A7" s="157">
        <v>2021</v>
      </c>
      <c r="B7" s="158">
        <f>'CPI-U &amp; C-CPI-U Calcs'!H15</f>
        <v>1.11347065629994</v>
      </c>
      <c r="C7" s="158">
        <f>'CPI-U &amp; C-CPI-U Calcs'!L15</f>
        <v>1.42178637587957</v>
      </c>
      <c r="D7" s="158">
        <f>'CPI-U &amp; C-CPI-U Calcs'!P15</f>
        <v>1.82859586618882</v>
      </c>
      <c r="E7" s="158">
        <f>'CPI-U &amp; C-CPI-U Calcs'!O15</f>
        <v>1.77431591206762</v>
      </c>
      <c r="F7" s="159">
        <f>'CPI-U &amp; C-CPI-U Calcs'!F15</f>
        <v>1.04720464468867</v>
      </c>
      <c r="G7" s="160">
        <f>G6*$F$7</f>
        <v>19949.2484813192</v>
      </c>
      <c r="H7" s="160">
        <f>H6*$F$7</f>
        <v>81053.6394989031</v>
      </c>
      <c r="I7" s="160">
        <f>I6*$F$7</f>
        <v>172788.766373631</v>
      </c>
      <c r="J7" s="160">
        <f>J6*$F$7</f>
        <v>329869.463076931</v>
      </c>
      <c r="K7" s="160">
        <f>K6*$F$7</f>
        <v>418881.857875468</v>
      </c>
      <c r="L7" s="160">
        <f>L6*$F$7</f>
        <v>628322.786813203</v>
      </c>
      <c r="M7" s="153" t="s">
        <v>243</v>
      </c>
      <c r="N7" s="160">
        <f>N6*$F$7</f>
        <v>9974.62424065959</v>
      </c>
      <c r="O7" s="160">
        <f>O6*$F$7</f>
        <v>40526.8197494516</v>
      </c>
      <c r="P7" s="160">
        <f>P6*$F$7</f>
        <v>86394.3831868154</v>
      </c>
      <c r="Q7" s="160">
        <f>Q6*$F$7</f>
        <v>164934.731538466</v>
      </c>
      <c r="R7" s="160">
        <f>R6*$F$7</f>
        <v>209440.928937734</v>
      </c>
      <c r="S7" s="160">
        <f>S6*$F$7</f>
        <v>523602.322344336</v>
      </c>
      <c r="T7" s="161" t="e">
        <f>T6*$F$7</f>
        <v>#VALUE!</v>
      </c>
    </row>
    <row r="8" ht="12.75" customHeight="1" spans="1:19" x14ac:dyDescent="0.25">
      <c r="A8" s="143">
        <v>2022</v>
      </c>
      <c r="B8" s="143">
        <f>B7*(1+$G$1)</f>
        <v>1.14286628162626</v>
      </c>
      <c r="C8" s="143">
        <f>C7*(1+$G$1)</f>
        <v>1.45932153620279</v>
      </c>
      <c r="D8" s="143">
        <f>D7*(1+$G$1)</f>
        <v>1.8768707970562</v>
      </c>
      <c r="E8" s="143">
        <f>E7*(1+$G$1)</f>
        <v>1.82115785214621</v>
      </c>
      <c r="F8" s="162">
        <f>F7*(1+$G$1)</f>
        <v>1.07485084730845</v>
      </c>
      <c r="G8" s="163">
        <f>$F8*G6</f>
        <v>20475.908641226</v>
      </c>
      <c r="H8" s="163">
        <f>$F8*H6</f>
        <v>83193.4555816742</v>
      </c>
      <c r="I8" s="163">
        <f>$F8*I6</f>
        <v>177350.389805895</v>
      </c>
      <c r="J8" s="163">
        <f>$F8*J6</f>
        <v>338578.016902162</v>
      </c>
      <c r="K8" s="163">
        <f>$F8*K6</f>
        <v>429940.338923381</v>
      </c>
      <c r="L8" s="163">
        <f>$F8*L6</f>
        <v>644910.508385071</v>
      </c>
      <c r="M8" s="164" t="s">
        <v>243</v>
      </c>
      <c r="N8" s="163">
        <f>$F8*N6</f>
        <v>10237.954320613</v>
      </c>
      <c r="O8" s="163">
        <f>$F8*O6</f>
        <v>41596.7277908371</v>
      </c>
      <c r="P8" s="163">
        <f>$F8*P6</f>
        <v>88675.1949029473</v>
      </c>
      <c r="Q8" s="163">
        <f>$F8*Q6</f>
        <v>169289.008451081</v>
      </c>
      <c r="R8" s="163">
        <f>$F8*R6</f>
        <v>214970.16946169</v>
      </c>
      <c r="S8" s="163">
        <f>$F8*S6</f>
        <v>537425.423654226</v>
      </c>
    </row>
    <row r="9" ht="12.75" customHeight="1" spans="1:19" x14ac:dyDescent="0.25">
      <c r="A9" s="143">
        <v>2023</v>
      </c>
      <c r="B9" s="143">
        <f>B8*(1+$G$1)</f>
        <v>1.17303795146119</v>
      </c>
      <c r="C9" s="143">
        <f>C8*(1+$G$1)</f>
        <v>1.49784762475854</v>
      </c>
      <c r="D9" s="143">
        <f>D8*(1+$G$1)</f>
        <v>1.92642018609849</v>
      </c>
      <c r="E9" s="143">
        <f>E8*(1+$G$1)</f>
        <v>1.86923641944287</v>
      </c>
      <c r="F9" s="162">
        <f>F8*(1+$G$1)</f>
        <v>1.1032269096774</v>
      </c>
      <c r="G9" s="163">
        <f>$F9*G7</f>
        <v>22008.5477524322</v>
      </c>
      <c r="H9" s="163">
        <f>$F9*H7</f>
        <v>89420.5562224806</v>
      </c>
      <c r="I9" s="163">
        <f>$F9*I7</f>
        <v>190625.21675335</v>
      </c>
      <c r="J9" s="163">
        <f>$F9*J7</f>
        <v>363920.868347305</v>
      </c>
      <c r="K9" s="163">
        <f>$F9*K7</f>
        <v>462121.737583879</v>
      </c>
      <c r="L9" s="163">
        <f>$F9*L7</f>
        <v>693182.606375818</v>
      </c>
      <c r="M9" s="164" t="s">
        <v>243</v>
      </c>
      <c r="N9" s="163">
        <f>$F9*N7</f>
        <v>11004.2738762161</v>
      </c>
      <c r="O9" s="163">
        <f>$F9*O7</f>
        <v>44710.2781112403</v>
      </c>
      <c r="P9" s="163">
        <f>$F9*P7</f>
        <v>95312.608376675</v>
      </c>
      <c r="Q9" s="163">
        <f>$F9*Q7</f>
        <v>181960.434173652</v>
      </c>
      <c r="R9" s="163">
        <f>$F9*R7</f>
        <v>231060.868791939</v>
      </c>
      <c r="S9" s="163">
        <f>$F9*S7</f>
        <v>577652.171979849</v>
      </c>
    </row>
    <row r="10" ht="12.75" customHeight="1" spans="1:19" x14ac:dyDescent="0.25">
      <c r="A10" s="143">
        <v>2024</v>
      </c>
      <c r="B10" s="143">
        <f>B9*(1+$G$1)</f>
        <v>1.20400615337977</v>
      </c>
      <c r="C10" s="143">
        <f>C9*(1+$G$1)</f>
        <v>1.53739080205217</v>
      </c>
      <c r="D10" s="143">
        <f>D9*(1+$G$1)</f>
        <v>1.97727767901149</v>
      </c>
      <c r="E10" s="143">
        <f>E9*(1+$G$1)</f>
        <v>1.91858426091616</v>
      </c>
      <c r="F10" s="162">
        <f>F9*(1+$G$1)</f>
        <v>1.13235210009288</v>
      </c>
      <c r="G10" s="163">
        <f>$F10*G8</f>
        <v>23185.9381512022</v>
      </c>
      <c r="H10" s="163">
        <f>$F10*H8</f>
        <v>94204.2841418923</v>
      </c>
      <c r="I10" s="163">
        <f>$F10*I8</f>
        <v>200823.086348995</v>
      </c>
      <c r="J10" s="163">
        <f>$F10*J8</f>
        <v>383389.528484446</v>
      </c>
      <c r="K10" s="163">
        <f>$F10*K8</f>
        <v>486843.845694534</v>
      </c>
      <c r="L10" s="163">
        <f>$F10*L8</f>
        <v>730265.768541801</v>
      </c>
      <c r="M10" s="164" t="s">
        <v>243</v>
      </c>
      <c r="N10" s="163">
        <f>$F10*N8</f>
        <v>11592.9690756011</v>
      </c>
      <c r="O10" s="163">
        <f>$F10*O8</f>
        <v>47102.1420709462</v>
      </c>
      <c r="P10" s="163">
        <f>$F10*P8</f>
        <v>100411.543174498</v>
      </c>
      <c r="Q10" s="163">
        <f>$F10*Q8</f>
        <v>191694.764242223</v>
      </c>
      <c r="R10" s="163">
        <f>$F10*R8</f>
        <v>243421.922847267</v>
      </c>
      <c r="S10" s="163">
        <f>$F10*S8</f>
        <v>608554.807118168</v>
      </c>
    </row>
    <row r="11" ht="13.5" customHeight="1" spans="1:19" x14ac:dyDescent="0.25">
      <c r="A11" s="143">
        <v>2025</v>
      </c>
      <c r="B11" s="143">
        <f>B10*(1+$G$1)</f>
        <v>1.23579191582899</v>
      </c>
      <c r="C11" s="143">
        <f>C10*(1+$G$1)</f>
        <v>1.57797791922634</v>
      </c>
      <c r="D11" s="143">
        <f>D10*(1+$G$1)</f>
        <v>2.02947780973739</v>
      </c>
      <c r="E11" s="143">
        <f>E10*(1+$G$1)</f>
        <v>1.96923488540434</v>
      </c>
      <c r="F11" s="162">
        <f>F10*(1+$G$1)</f>
        <v>1.16224619553533</v>
      </c>
      <c r="G11" s="163">
        <f>$F11*G9</f>
        <v>25579.350894522</v>
      </c>
      <c r="H11" s="163">
        <f>$F11*H9</f>
        <v>103928.701272231</v>
      </c>
      <c r="I11" s="163">
        <f>$F11*I9</f>
        <v>221553.432944679</v>
      </c>
      <c r="J11" s="163">
        <f>$F11*J9</f>
        <v>422965.644712569</v>
      </c>
      <c r="K11" s="163">
        <f>$F11*K9</f>
        <v>537099.23138104</v>
      </c>
      <c r="L11" s="163">
        <f>$F11*L9</f>
        <v>805648.847071559</v>
      </c>
      <c r="M11" s="164" t="s">
        <v>243</v>
      </c>
      <c r="N11" s="163">
        <f>$F11*N9</f>
        <v>12789.675447261</v>
      </c>
      <c r="O11" s="163">
        <f>$F11*O9</f>
        <v>51964.3506361156</v>
      </c>
      <c r="P11" s="163">
        <f>$F11*P9</f>
        <v>110776.716472339</v>
      </c>
      <c r="Q11" s="163">
        <f>$F11*Q9</f>
        <v>211482.822356284</v>
      </c>
      <c r="R11" s="163">
        <f>$F11*R9</f>
        <v>268549.61569052</v>
      </c>
      <c r="S11" s="163">
        <f>$F11*S9</f>
        <v>671374.039226299</v>
      </c>
    </row>
    <row r="12" ht="30" customHeight="1" spans="6:20" x14ac:dyDescent="0.25">
      <c r="F12" s="162"/>
      <c r="G12" s="149" t="s">
        <v>236</v>
      </c>
      <c r="H12" s="150" t="s">
        <v>251</v>
      </c>
      <c r="I12" s="150" t="s">
        <v>252</v>
      </c>
      <c r="J12" s="150" t="s">
        <v>253</v>
      </c>
      <c r="K12" s="150" t="s">
        <v>254</v>
      </c>
      <c r="L12" s="150" t="s">
        <v>241</v>
      </c>
      <c r="M12" s="150" t="s">
        <v>255</v>
      </c>
      <c r="N12" s="149" t="s">
        <v>236</v>
      </c>
      <c r="O12" s="150" t="s">
        <v>251</v>
      </c>
      <c r="P12" s="150" t="s">
        <v>252</v>
      </c>
      <c r="Q12" s="150" t="s">
        <v>253</v>
      </c>
      <c r="R12" s="150" t="s">
        <v>254</v>
      </c>
      <c r="S12" s="150" t="s">
        <v>241</v>
      </c>
      <c r="T12" s="150" t="s">
        <v>255</v>
      </c>
    </row>
    <row r="13" ht="13.5" customHeight="1" spans="1:20" x14ac:dyDescent="0.25">
      <c r="A13" s="143">
        <v>2026</v>
      </c>
      <c r="B13" s="143">
        <f>B11*(1+$G$1)</f>
        <v>1.26841682240688</v>
      </c>
      <c r="C13" s="143">
        <f>C11*(1+$G$1)</f>
        <v>1.61963653629392</v>
      </c>
      <c r="D13" s="143">
        <f>D11*(1+$G$1)</f>
        <v>2.08305602391446</v>
      </c>
      <c r="E13" s="143">
        <f>E11*(1+$G$1)</f>
        <v>2.02122268637902</v>
      </c>
      <c r="F13" s="162"/>
      <c r="G13" s="163">
        <f>C13*G5</f>
        <v>22674.9115081149</v>
      </c>
      <c r="H13" s="163">
        <f>D13*$H$5</f>
        <v>92071.076257019</v>
      </c>
      <c r="I13" s="163">
        <f>D13*$I$5</f>
        <v>185704.444531974</v>
      </c>
      <c r="J13" s="163">
        <f>E13*$J$5</f>
        <v>282971.176093063</v>
      </c>
      <c r="K13" s="163">
        <f>E13*$K$5</f>
        <v>505305.671594755</v>
      </c>
      <c r="L13" s="163">
        <f>B13*$L$5</f>
        <v>570787.570083095</v>
      </c>
      <c r="M13" s="164" t="s">
        <v>243</v>
      </c>
      <c r="N13" s="163">
        <f>C13*$N$5</f>
        <v>11337.4557540574</v>
      </c>
      <c r="O13" s="163">
        <f>D13*$O$5</f>
        <v>46035.5381285095</v>
      </c>
      <c r="P13" s="163">
        <f>D13*$P$5</f>
        <v>111443.497279423</v>
      </c>
      <c r="Q13" s="163">
        <f>E13*$Q$5</f>
        <v>232440.608933587</v>
      </c>
      <c r="R13" s="163">
        <f>E13*$R$5</f>
        <v>505305.671594755</v>
      </c>
      <c r="S13" s="163">
        <f>B13*$S$5</f>
        <v>507366.728962751</v>
      </c>
      <c r="T13" s="143" t="s">
        <v>243</v>
      </c>
    </row>
    <row r="14" ht="12.75" customHeight="1" spans="1:20" x14ac:dyDescent="0.25">
      <c r="A14" s="143">
        <v>2027</v>
      </c>
      <c r="B14" s="143">
        <f>B13*(1+$G$1)</f>
        <v>1.30190302651842</v>
      </c>
      <c r="C14" s="143">
        <f>C13*(1+$G$1)</f>
        <v>1.66239494085208</v>
      </c>
      <c r="D14" s="143">
        <f>D13*(1+$G$1)</f>
        <v>2.1380487029458</v>
      </c>
      <c r="E14" s="143">
        <f>E13*(1+$G$1)</f>
        <v>2.07458296529942</v>
      </c>
      <c r="F14" s="162"/>
      <c r="G14" s="163">
        <f>C14*$G$5</f>
        <v>23273.5291719291</v>
      </c>
      <c r="H14" s="163">
        <f>D14*$H$5</f>
        <v>94501.7526702043</v>
      </c>
      <c r="I14" s="163">
        <f>D14*$I$5</f>
        <v>190607.041867618</v>
      </c>
      <c r="J14" s="163">
        <f>E14*$J$5</f>
        <v>290441.615141919</v>
      </c>
      <c r="K14" s="163">
        <f>E14*$K$5</f>
        <v>518645.741324856</v>
      </c>
      <c r="L14" s="163">
        <f>B14*$L$5</f>
        <v>585856.361933288</v>
      </c>
      <c r="M14" s="164" t="s">
        <v>243</v>
      </c>
      <c r="N14" s="163">
        <f>C14*$N$5</f>
        <v>11636.7645859645</v>
      </c>
      <c r="O14" s="163">
        <f>D14*$O$5</f>
        <v>47250.8763351022</v>
      </c>
      <c r="P14" s="163">
        <f>D14*$P$5</f>
        <v>114385.6056076</v>
      </c>
      <c r="Q14" s="163">
        <f>E14*$Q$5</f>
        <v>238577.041009434</v>
      </c>
      <c r="R14" s="163">
        <f>E14*$R$5</f>
        <v>518645.741324856</v>
      </c>
      <c r="S14" s="163">
        <f>B14*$S$5</f>
        <v>520761.210607367</v>
      </c>
      <c r="T14" s="143" t="s">
        <v>243</v>
      </c>
    </row>
    <row r="15" ht="12.75" customHeight="1" spans="1:20" x14ac:dyDescent="0.25">
      <c r="A15" s="143">
        <v>2028</v>
      </c>
      <c r="B15" s="143">
        <f>B14*(1+$G$1)</f>
        <v>1.3362732664185</v>
      </c>
      <c r="C15" s="143">
        <f>C14*(1+$G$1)</f>
        <v>1.70628216729057</v>
      </c>
      <c r="D15" s="143">
        <f>D14*(1+$G$1)</f>
        <v>2.19449318870357</v>
      </c>
      <c r="E15" s="143">
        <f>E14*(1+$G$1)</f>
        <v>2.12935195558333</v>
      </c>
      <c r="F15" s="162"/>
      <c r="G15" s="163">
        <f>C15*$G$5</f>
        <v>23887.950342068</v>
      </c>
      <c r="H15" s="163">
        <f>D15*$H$5</f>
        <v>96996.5989406977</v>
      </c>
      <c r="I15" s="163">
        <f>D15*$I$5</f>
        <v>195639.067772923</v>
      </c>
      <c r="J15" s="163">
        <f>E15*$J$5</f>
        <v>298109.273781666</v>
      </c>
      <c r="K15" s="163">
        <f>E15*$K$5</f>
        <v>532337.988895832</v>
      </c>
      <c r="L15" s="163">
        <f>B15*$L$5</f>
        <v>601322.969888327</v>
      </c>
      <c r="M15" s="164" t="s">
        <v>243</v>
      </c>
      <c r="N15" s="163">
        <f>C15*$N$5</f>
        <v>11943.975171034</v>
      </c>
      <c r="O15" s="163">
        <f>D15*$O$5</f>
        <v>48498.2994703488</v>
      </c>
      <c r="P15" s="163">
        <f>D15*$P$5</f>
        <v>117405.385595641</v>
      </c>
      <c r="Q15" s="163">
        <f>E15*$Q$5</f>
        <v>244875.474892083</v>
      </c>
      <c r="R15" s="163">
        <f>E15*$R$5</f>
        <v>532337.988895832</v>
      </c>
      <c r="S15" s="163">
        <f>B15*$S$5</f>
        <v>534509.306567402</v>
      </c>
      <c r="T15" s="143" t="s">
        <v>243</v>
      </c>
    </row>
    <row r="16" ht="12.75" customHeight="1" spans="1:20" x14ac:dyDescent="0.25">
      <c r="A16" s="143">
        <v>2029</v>
      </c>
      <c r="B16" s="143">
        <f>B15*(1+$G$1)</f>
        <v>1.37155088065195</v>
      </c>
      <c r="C16" s="143">
        <f>C15*(1+$G$1)</f>
        <v>1.75132801650704</v>
      </c>
      <c r="D16" s="143">
        <f>D15*(1+$G$1)</f>
        <v>2.25242780888534</v>
      </c>
      <c r="E16" s="143">
        <f>E15*(1+$G$1)</f>
        <v>2.18556684721073</v>
      </c>
      <c r="F16" s="162"/>
      <c r="G16" s="163">
        <f>C16*$G$5</f>
        <v>24518.5922310986</v>
      </c>
      <c r="H16" s="163">
        <f>D16*$H$5</f>
        <v>99557.3091527321</v>
      </c>
      <c r="I16" s="163">
        <f>D16*$I$5</f>
        <v>200803.939162128</v>
      </c>
      <c r="J16" s="163">
        <f>E16*$J$5</f>
        <v>305979.358609502</v>
      </c>
      <c r="K16" s="163">
        <f>E16*$K$5</f>
        <v>546391.711802682</v>
      </c>
      <c r="L16" s="163">
        <f>B16*$L$5</f>
        <v>617197.896293379</v>
      </c>
      <c r="M16" s="164" t="s">
        <v>243</v>
      </c>
      <c r="N16" s="163">
        <f>C16*$N$5</f>
        <v>12259.2961155493</v>
      </c>
      <c r="O16" s="163">
        <f>D16*$O$5</f>
        <v>49778.6545763661</v>
      </c>
      <c r="P16" s="163">
        <f>D16*$P$5</f>
        <v>120504.887775366</v>
      </c>
      <c r="Q16" s="163">
        <f>E16*$Q$5</f>
        <v>251340.187429234</v>
      </c>
      <c r="R16" s="163">
        <f>E16*$R$5</f>
        <v>546391.711802682</v>
      </c>
      <c r="S16" s="163">
        <f>B16*$S$5</f>
        <v>548620.352260781</v>
      </c>
      <c r="T16" s="143" t="s">
        <v>243</v>
      </c>
    </row>
    <row r="17" ht="12.75" customHeight="1" spans="1:20" x14ac:dyDescent="0.25">
      <c r="A17" s="143">
        <v>2030</v>
      </c>
      <c r="B17" s="143">
        <f>B16*(1+$G$1)</f>
        <v>1.40775982390117</v>
      </c>
      <c r="C17" s="143">
        <f>C16*(1+$G$1)</f>
        <v>1.79756307614283</v>
      </c>
      <c r="D17" s="143">
        <f>D16*(1+$G$1)</f>
        <v>2.31189190303991</v>
      </c>
      <c r="E17" s="143">
        <f>E16*(1+$G$1)</f>
        <v>2.24326581197709</v>
      </c>
      <c r="F17" s="162"/>
      <c r="G17" s="163">
        <f>C17*$G$5</f>
        <v>25165.8830659996</v>
      </c>
      <c r="H17" s="163">
        <f>D17*$H$5</f>
        <v>102185.622114364</v>
      </c>
      <c r="I17" s="163">
        <f>D17*$I$5</f>
        <v>206105.163156008</v>
      </c>
      <c r="J17" s="163">
        <f>E17*$J$5</f>
        <v>314057.213676793</v>
      </c>
      <c r="K17" s="163">
        <f>E17*$K$5</f>
        <v>560816.452994273</v>
      </c>
      <c r="L17" s="163">
        <f>B17*$L$5</f>
        <v>633491.920755524</v>
      </c>
      <c r="M17" s="164" t="s">
        <v>243</v>
      </c>
      <c r="N17" s="163">
        <f>C17*$N$5</f>
        <v>12582.9415329998</v>
      </c>
      <c r="O17" s="163">
        <f>D17*$O$5</f>
        <v>51092.8110571821</v>
      </c>
      <c r="P17" s="163">
        <f>D17*$P$5</f>
        <v>123686.216812635</v>
      </c>
      <c r="Q17" s="163">
        <f>E17*$Q$5</f>
        <v>257975.568377366</v>
      </c>
      <c r="R17" s="163">
        <f>E17*$R$5</f>
        <v>560816.452994273</v>
      </c>
      <c r="S17" s="163">
        <f>B17*$S$5</f>
        <v>563103.929560466</v>
      </c>
      <c r="T17" s="143" t="s">
        <v>243</v>
      </c>
    </row>
    <row r="18" ht="12.75" customHeight="1" spans="1:20" x14ac:dyDescent="0.25">
      <c r="A18" s="143">
        <v>2031</v>
      </c>
      <c r="B18" s="143">
        <f>B17*(1+$G$1)</f>
        <v>1.44492468325216</v>
      </c>
      <c r="C18" s="143">
        <f>C17*(1+$G$1)</f>
        <v>1.845018741353</v>
      </c>
      <c r="D18" s="143">
        <f>D17*(1+$G$1)</f>
        <v>2.37292584928017</v>
      </c>
      <c r="E18" s="143">
        <f>E17*(1+$G$1)</f>
        <v>2.30248802941329</v>
      </c>
      <c r="F18" s="162"/>
      <c r="G18" s="163">
        <f>C18*$G$5</f>
        <v>25830.262378942</v>
      </c>
      <c r="H18" s="163">
        <f>D18*$H$5</f>
        <v>104883.322538183</v>
      </c>
      <c r="I18" s="163">
        <f>D18*$I$5</f>
        <v>211546.339463327</v>
      </c>
      <c r="J18" s="163">
        <f>E18*$J$5</f>
        <v>322348.32411786</v>
      </c>
      <c r="K18" s="163">
        <f>E18*$K$5</f>
        <v>575622.007353322</v>
      </c>
      <c r="L18" s="163">
        <f>B18*$L$5</f>
        <v>650216.10746347</v>
      </c>
      <c r="M18" s="164" t="s">
        <v>243</v>
      </c>
      <c r="N18" s="163">
        <f>C18*$N$5</f>
        <v>12915.131189471</v>
      </c>
      <c r="O18" s="163">
        <f>D18*$O$5</f>
        <v>52441.6612690917</v>
      </c>
      <c r="P18" s="163">
        <f>D18*$P$5</f>
        <v>126951.532936489</v>
      </c>
      <c r="Q18" s="163">
        <f>E18*$Q$5</f>
        <v>264786.123382528</v>
      </c>
      <c r="R18" s="163">
        <f>E18*$R$5</f>
        <v>575622.007353322</v>
      </c>
      <c r="S18" s="163">
        <f>B18*$S$5</f>
        <v>577969.873300862</v>
      </c>
      <c r="T18" s="143" t="s">
        <v>243</v>
      </c>
    </row>
    <row r="19" ht="12.75" customHeight="1" spans="1:20" x14ac:dyDescent="0.25">
      <c r="A19" s="143">
        <v>2032</v>
      </c>
      <c r="B19" s="143">
        <f>B18*(1+$G$1)</f>
        <v>1.48307069489001</v>
      </c>
      <c r="C19" s="143">
        <f>C18*(1+$G$1)</f>
        <v>1.89372723612472</v>
      </c>
      <c r="D19" s="143">
        <f>D18*(1+$G$1)</f>
        <v>2.43557109170117</v>
      </c>
      <c r="E19" s="143">
        <f>E18*(1+$G$1)</f>
        <v>2.3632737133898</v>
      </c>
      <c r="F19" s="162"/>
      <c r="G19" s="163">
        <f>C19*$G$5</f>
        <v>26512.1813057461</v>
      </c>
      <c r="H19" s="163">
        <f>D19*$H$5</f>
        <v>107652.242253191</v>
      </c>
      <c r="I19" s="163">
        <f>D19*$I$5</f>
        <v>217131.162825159</v>
      </c>
      <c r="J19" s="163">
        <f>E19*$J$5</f>
        <v>330858.319874572</v>
      </c>
      <c r="K19" s="163">
        <f>E19*$K$5</f>
        <v>590818.42834745</v>
      </c>
      <c r="L19" s="163">
        <f>B19*$L$5</f>
        <v>667381.812700506</v>
      </c>
      <c r="M19" s="164" t="s">
        <v>243</v>
      </c>
      <c r="N19" s="163">
        <f>C19*$N$5</f>
        <v>13256.090652873</v>
      </c>
      <c r="O19" s="163">
        <f>D19*$O$5</f>
        <v>53826.1211265957</v>
      </c>
      <c r="P19" s="163">
        <f>D19*$P$5</f>
        <v>130303.053406012</v>
      </c>
      <c r="Q19" s="163">
        <f>E19*$Q$5</f>
        <v>271776.477039827</v>
      </c>
      <c r="R19" s="163">
        <f>E19*$R$5</f>
        <v>590818.42834745</v>
      </c>
      <c r="S19" s="163">
        <f>B19*$S$5</f>
        <v>593228.277956005</v>
      </c>
      <c r="T19" s="143" t="s">
        <v>243</v>
      </c>
    </row>
    <row r="20" ht="12.75" customHeight="1" spans="1:20" x14ac:dyDescent="0.25">
      <c r="A20" s="143">
        <v>2033</v>
      </c>
      <c r="B20" s="143">
        <f>B19*(1+$G$1)</f>
        <v>1.52222376123511</v>
      </c>
      <c r="C20" s="143">
        <f>C19*(1+$G$1)</f>
        <v>1.94372163515841</v>
      </c>
      <c r="D20" s="143">
        <f>D19*(1+$G$1)</f>
        <v>2.49987016852208</v>
      </c>
      <c r="E20" s="143">
        <f>E19*(1+$G$1)</f>
        <v>2.42566413942329</v>
      </c>
      <c r="F20" s="162"/>
      <c r="G20" s="163">
        <f>C20*$G$5</f>
        <v>27212.1028922178</v>
      </c>
      <c r="H20" s="163">
        <f>D20*$H$5</f>
        <v>110494.261448676</v>
      </c>
      <c r="I20" s="163">
        <f>D20*$I$5</f>
        <v>222863.425523743</v>
      </c>
      <c r="J20" s="163">
        <f>E20*$J$5</f>
        <v>339592.97951926</v>
      </c>
      <c r="K20" s="163">
        <f>E20*$K$5</f>
        <v>606416.034855822</v>
      </c>
      <c r="L20" s="163">
        <f>B20*$L$5</f>
        <v>685000.692555799</v>
      </c>
      <c r="M20" s="164" t="s">
        <v>243</v>
      </c>
      <c r="N20" s="163">
        <f>C20*$N$5</f>
        <v>13606.0514461089</v>
      </c>
      <c r="O20" s="163">
        <f>D20*$O$5</f>
        <v>55247.1307243379</v>
      </c>
      <c r="P20" s="163">
        <f>D20*$P$5</f>
        <v>133743.054015931</v>
      </c>
      <c r="Q20" s="163">
        <f>E20*$Q$5</f>
        <v>278951.376033678</v>
      </c>
      <c r="R20" s="163">
        <f>E20*$R$5</f>
        <v>606416.034855822</v>
      </c>
      <c r="S20" s="163">
        <f>B20*$S$5</f>
        <v>608889.504494044</v>
      </c>
      <c r="T20" s="143" t="s">
        <v>243</v>
      </c>
    </row>
    <row r="21" ht="12.75" customHeight="1" spans="1:20" x14ac:dyDescent="0.25">
      <c r="A21" s="143">
        <v>2034</v>
      </c>
      <c r="B21" s="143">
        <f>B20*(1+$G$1)</f>
        <v>1.56241046853172</v>
      </c>
      <c r="C21" s="143">
        <f>C20*(1+$G$1)</f>
        <v>1.99503588632659</v>
      </c>
      <c r="D21" s="143">
        <f>D20*(1+$G$1)</f>
        <v>2.56586674097106</v>
      </c>
      <c r="E21" s="143">
        <f>E20*(1+$G$1)</f>
        <v>2.48970167270406</v>
      </c>
      <c r="F21" s="162"/>
      <c r="G21" s="163">
        <f>C21*$G$5</f>
        <v>27930.5024085723</v>
      </c>
      <c r="H21" s="163">
        <f>D21*$H$5</f>
        <v>113411.309950921</v>
      </c>
      <c r="I21" s="163">
        <f>D21*$I$5</f>
        <v>228747.01995757</v>
      </c>
      <c r="J21" s="163">
        <f>E21*$J$5</f>
        <v>348558.234178569</v>
      </c>
      <c r="K21" s="163">
        <f>E21*$K$5</f>
        <v>622425.418176016</v>
      </c>
      <c r="L21" s="163">
        <f>B21*$L$5</f>
        <v>703084.710839272</v>
      </c>
      <c r="M21" s="164" t="s">
        <v>243</v>
      </c>
      <c r="N21" s="163">
        <f>C21*$N$5</f>
        <v>13965.2512042862</v>
      </c>
      <c r="O21" s="163">
        <f>D21*$O$5</f>
        <v>56705.6549754604</v>
      </c>
      <c r="P21" s="163">
        <f>D21*$P$5</f>
        <v>137273.870641952</v>
      </c>
      <c r="Q21" s="163">
        <f>E21*$Q$5</f>
        <v>286315.692360967</v>
      </c>
      <c r="R21" s="163">
        <f>E21*$R$5</f>
        <v>622425.418176016</v>
      </c>
      <c r="S21" s="163">
        <f>B21*$S$5</f>
        <v>624964.187412686</v>
      </c>
      <c r="T21" s="143" t="s">
        <v>243</v>
      </c>
    </row>
    <row r="22" ht="12.75" customHeight="1" spans="1:20" x14ac:dyDescent="0.25">
      <c r="A22" s="143">
        <v>2035</v>
      </c>
      <c r="B22" s="143">
        <f>B21*(1+$G$1)</f>
        <v>1.60365810490095</v>
      </c>
      <c r="C22" s="143">
        <f>C21*(1+$G$1)</f>
        <v>2.04770483372562</v>
      </c>
      <c r="D22" s="143">
        <f>D21*(1+$G$1)</f>
        <v>2.63360562293269</v>
      </c>
      <c r="E22" s="143">
        <f>E21*(1+$G$1)</f>
        <v>2.55542979686345</v>
      </c>
      <c r="F22" s="162"/>
      <c r="G22" s="163">
        <f>C22*$G$5</f>
        <v>28667.8676721586</v>
      </c>
      <c r="H22" s="163">
        <f>D22*$H$5</f>
        <v>116405.368533625</v>
      </c>
      <c r="I22" s="163">
        <f>D22*$I$5</f>
        <v>234785.94128445</v>
      </c>
      <c r="J22" s="163">
        <f>E22*$J$5</f>
        <v>357760.171560883</v>
      </c>
      <c r="K22" s="163">
        <f>E22*$K$5</f>
        <v>638857.449215863</v>
      </c>
      <c r="L22" s="163">
        <f>B22*$L$5</f>
        <v>721646.147205429</v>
      </c>
      <c r="M22" s="164" t="s">
        <v>243</v>
      </c>
      <c r="N22" s="163">
        <f>C22*$N$5</f>
        <v>14333.9338360793</v>
      </c>
      <c r="O22" s="163">
        <f>D22*$O$5</f>
        <v>58202.6842668125</v>
      </c>
      <c r="P22" s="163">
        <f>D22*$P$5</f>
        <v>140897.900826899</v>
      </c>
      <c r="Q22" s="163">
        <f>E22*$Q$5</f>
        <v>293874.426639297</v>
      </c>
      <c r="R22" s="163">
        <f>E22*$R$5</f>
        <v>638857.449215863</v>
      </c>
      <c r="S22" s="163">
        <f>B22*$S$5</f>
        <v>641463.241960381</v>
      </c>
      <c r="T22" s="143" t="s">
        <v>243</v>
      </c>
    </row>
    <row r="23" ht="12.75" customHeight="1" spans="1:20" x14ac:dyDescent="0.25">
      <c r="A23" s="143">
        <v>2036</v>
      </c>
      <c r="B23" s="143">
        <f>B22*(1+$G$1)</f>
        <v>1.64599467887034</v>
      </c>
      <c r="C23" s="143">
        <f>C22*(1+$G$1)</f>
        <v>2.10176424133597</v>
      </c>
      <c r="D23" s="143">
        <f>D22*(1+$G$1)</f>
        <v>2.70313281137812</v>
      </c>
      <c r="E23" s="143">
        <f>E22*(1+$G$1)</f>
        <v>2.62289314350065</v>
      </c>
      <c r="F23" s="162"/>
      <c r="G23" s="163">
        <f>C23*$G$5</f>
        <v>29424.6993787036</v>
      </c>
      <c r="H23" s="163">
        <f>D23*$H$5</f>
        <v>119478.470262913</v>
      </c>
      <c r="I23" s="163">
        <f>D23*$I$5</f>
        <v>240984.290134359</v>
      </c>
      <c r="J23" s="163">
        <f>E23*$J$5</f>
        <v>367205.04009009</v>
      </c>
      <c r="K23" s="163">
        <f>E23*$K$5</f>
        <v>655723.285875161</v>
      </c>
      <c r="L23" s="163">
        <f>B23*$L$5</f>
        <v>740697.605491652</v>
      </c>
      <c r="M23" s="164" t="s">
        <v>243</v>
      </c>
      <c r="N23" s="163">
        <f>C23*$N$5</f>
        <v>14712.3496893518</v>
      </c>
      <c r="O23" s="163">
        <f>D23*$O$5</f>
        <v>59739.2351314564</v>
      </c>
      <c r="P23" s="163">
        <f>D23*$P$5</f>
        <v>144617.605408729</v>
      </c>
      <c r="Q23" s="163">
        <f>E23*$Q$5</f>
        <v>301632.711502574</v>
      </c>
      <c r="R23" s="163">
        <f>E23*$R$5</f>
        <v>655723.285875161</v>
      </c>
      <c r="S23" s="163">
        <f>B23*$S$5</f>
        <v>658397.871548135</v>
      </c>
      <c r="T23" s="143" t="s">
        <v>243</v>
      </c>
    </row>
    <row r="24" ht="12.75" customHeight="1" spans="1:20" x14ac:dyDescent="0.25">
      <c r="A24" s="143">
        <v>2037</v>
      </c>
      <c r="B24" s="143">
        <f>B23*(1+$G$1)</f>
        <v>1.68944893839252</v>
      </c>
      <c r="C24" s="143">
        <f>C23*(1+$G$1)</f>
        <v>2.15725081730724</v>
      </c>
      <c r="D24" s="143">
        <f>D23*(1+$G$1)</f>
        <v>2.7744955175985</v>
      </c>
      <c r="E24" s="143">
        <f>E23*(1+$G$1)</f>
        <v>2.69213752248906</v>
      </c>
      <c r="F24" s="162"/>
      <c r="G24" s="163">
        <f>C24*$G$5</f>
        <v>30201.5114423014</v>
      </c>
      <c r="H24" s="163">
        <f>D24*$H$5</f>
        <v>122632.701877854</v>
      </c>
      <c r="I24" s="163">
        <f>D24*$I$5</f>
        <v>247346.275393906</v>
      </c>
      <c r="J24" s="163">
        <f>E24*$J$5</f>
        <v>376899.253148469</v>
      </c>
      <c r="K24" s="163">
        <f>E24*$K$5</f>
        <v>673034.380622266</v>
      </c>
      <c r="L24" s="163">
        <f>B24*$L$5</f>
        <v>760252.022276632</v>
      </c>
      <c r="M24" s="164" t="s">
        <v>243</v>
      </c>
      <c r="N24" s="163">
        <f>C24*$N$5</f>
        <v>15100.7557211507</v>
      </c>
      <c r="O24" s="163">
        <f>D24*$O$5</f>
        <v>61316.3509389268</v>
      </c>
      <c r="P24" s="163">
        <f>D24*$P$5</f>
        <v>148435.51019152</v>
      </c>
      <c r="Q24" s="163">
        <f>E24*$Q$5</f>
        <v>309595.815086242</v>
      </c>
      <c r="R24" s="163">
        <f>E24*$R$5</f>
        <v>673034.380622266</v>
      </c>
      <c r="S24" s="163">
        <f>B24*$S$5</f>
        <v>675779.575357006</v>
      </c>
      <c r="T24" s="143" t="s">
        <v>243</v>
      </c>
    </row>
    <row r="25" ht="12.75" customHeight="1" spans="1:20" x14ac:dyDescent="0.25">
      <c r="A25" s="143">
        <v>2038</v>
      </c>
      <c r="B25" s="143">
        <f>B24*(1+$G$1)</f>
        <v>1.73405039036608</v>
      </c>
      <c r="C25" s="143">
        <f>C24*(1+$G$1)</f>
        <v>2.21420223888415</v>
      </c>
      <c r="D25" s="143">
        <f>D24*(1+$G$1)</f>
        <v>2.8477421992631</v>
      </c>
      <c r="E25" s="143">
        <f>E24*(1+$G$1)</f>
        <v>2.76320995308277</v>
      </c>
      <c r="F25" s="162"/>
      <c r="G25" s="163">
        <f>C25*$G$5</f>
        <v>30998.8313443782</v>
      </c>
      <c r="H25" s="163">
        <f>D25*$H$5</f>
        <v>125870.205207429</v>
      </c>
      <c r="I25" s="163">
        <f>D25*$I$5</f>
        <v>253876.217064305</v>
      </c>
      <c r="J25" s="163">
        <f>E25*$J$5</f>
        <v>386849.393431588</v>
      </c>
      <c r="K25" s="163">
        <f>E25*$K$5</f>
        <v>690802.488270693</v>
      </c>
      <c r="L25" s="163">
        <f>B25*$L$5</f>
        <v>780322.675664735</v>
      </c>
      <c r="M25" s="164" t="s">
        <v>243</v>
      </c>
      <c r="N25" s="163">
        <f>C25*$N$5</f>
        <v>15499.4156721891</v>
      </c>
      <c r="O25" s="163">
        <f>D25*$O$5</f>
        <v>62935.1026037145</v>
      </c>
      <c r="P25" s="163">
        <f>D25*$P$5</f>
        <v>152354.207660576</v>
      </c>
      <c r="Q25" s="163">
        <f>E25*$Q$5</f>
        <v>317769.144604519</v>
      </c>
      <c r="R25" s="163">
        <f>E25*$R$5</f>
        <v>690802.488270693</v>
      </c>
      <c r="S25" s="163">
        <f>B25*$S$5</f>
        <v>693620.156146431</v>
      </c>
      <c r="T25" s="143" t="s">
        <v>243</v>
      </c>
    </row>
    <row r="26" ht="12.75" customHeight="1" spans="1:20" x14ac:dyDescent="0.25">
      <c r="A26" s="143">
        <v>2039</v>
      </c>
      <c r="B26" s="143">
        <f>B25*(1+$G$1)</f>
        <v>1.77982932067174</v>
      </c>
      <c r="C26" s="143">
        <f>C25*(1+$G$1)</f>
        <v>2.2726571779907</v>
      </c>
      <c r="D26" s="143">
        <f>D25*(1+$G$1)</f>
        <v>2.92292259332365</v>
      </c>
      <c r="E26" s="143">
        <f>E25*(1+$G$1)</f>
        <v>2.83615869584416</v>
      </c>
      <c r="F26" s="162"/>
      <c r="G26" s="163">
        <f>C26*$G$5</f>
        <v>31817.2004918697</v>
      </c>
      <c r="H26" s="163">
        <f>D26*$H$5</f>
        <v>129193.178624905</v>
      </c>
      <c r="I26" s="163">
        <f>D26*$I$5</f>
        <v>260578.549194803</v>
      </c>
      <c r="J26" s="163">
        <f>E26*$J$5</f>
        <v>397062.217418182</v>
      </c>
      <c r="K26" s="163">
        <f>E26*$K$5</f>
        <v>709039.67396104</v>
      </c>
      <c r="L26" s="163">
        <f>B26*$L$5</f>
        <v>800923.194302284</v>
      </c>
      <c r="M26" s="164" t="s">
        <v>243</v>
      </c>
      <c r="N26" s="163">
        <f>C26*$N$5</f>
        <v>15908.6002459349</v>
      </c>
      <c r="O26" s="163">
        <f>D26*$O$5</f>
        <v>64596.5893124526</v>
      </c>
      <c r="P26" s="163">
        <f>D26*$P$5</f>
        <v>156376.358742815</v>
      </c>
      <c r="Q26" s="163">
        <f>E26*$Q$5</f>
        <v>326158.250022078</v>
      </c>
      <c r="R26" s="163">
        <f>E26*$R$5</f>
        <v>709039.67396104</v>
      </c>
      <c r="S26" s="163">
        <f>B26*$S$5</f>
        <v>711931.728268697</v>
      </c>
      <c r="T26" s="143" t="s">
        <v>243</v>
      </c>
    </row>
    <row r="27" ht="12.75" customHeight="1" spans="1:20" x14ac:dyDescent="0.25">
      <c r="A27" s="143">
        <v>2040</v>
      </c>
      <c r="B27" s="143">
        <f>B26*(1+$G$1)</f>
        <v>1.82681681473748</v>
      </c>
      <c r="C27" s="143">
        <f>C26*(1+$G$1)</f>
        <v>2.33265532748965</v>
      </c>
      <c r="D27" s="143">
        <f>D26*(1+$G$1)</f>
        <v>3.00008774978739</v>
      </c>
      <c r="E27" s="143">
        <f>E26*(1+$G$1)</f>
        <v>2.91103328541444</v>
      </c>
      <c r="F27" s="162"/>
      <c r="G27" s="163">
        <f>C27*$G$5</f>
        <v>32657.1745848551</v>
      </c>
      <c r="H27" s="163">
        <f>D27*$H$5</f>
        <v>132603.878540603</v>
      </c>
      <c r="I27" s="163">
        <f>D27*$I$5</f>
        <v>267457.822893546</v>
      </c>
      <c r="J27" s="163">
        <f>E27*$J$5</f>
        <v>407544.659958022</v>
      </c>
      <c r="K27" s="163">
        <f>E27*$K$5</f>
        <v>727758.321353611</v>
      </c>
      <c r="L27" s="163">
        <f>B27*$L$5</f>
        <v>822067.566631864</v>
      </c>
      <c r="M27" s="164" t="s">
        <v>243</v>
      </c>
      <c r="N27" s="163">
        <f>C27*$N$5</f>
        <v>16328.5872924275</v>
      </c>
      <c r="O27" s="163">
        <f>D27*$O$5</f>
        <v>66301.9392703013</v>
      </c>
      <c r="P27" s="163">
        <f>D27*$P$5</f>
        <v>160504.694613625</v>
      </c>
      <c r="Q27" s="163">
        <f>E27*$Q$5</f>
        <v>334768.827822661</v>
      </c>
      <c r="R27" s="163">
        <f>E27*$R$5</f>
        <v>727758.321353611</v>
      </c>
      <c r="S27" s="163">
        <f>B27*$S$5</f>
        <v>730726.725894991</v>
      </c>
      <c r="T27" s="143" t="s">
        <v>243</v>
      </c>
    </row>
    <row r="28" ht="12.75" customHeight="1" spans="1:20" x14ac:dyDescent="0.25">
      <c r="A28" s="143">
        <v>2041</v>
      </c>
      <c r="B28" s="143">
        <f>B27*(1+$G$1)</f>
        <v>1.87504477864655</v>
      </c>
      <c r="C28" s="143">
        <f>C27*(1+$G$1)</f>
        <v>2.39423742813538</v>
      </c>
      <c r="D28" s="143">
        <f>D27*(1+$G$1)</f>
        <v>3.07929006638178</v>
      </c>
      <c r="E28" s="143">
        <f>E27*(1+$G$1)</f>
        <v>2.98788456414939</v>
      </c>
      <c r="F28" s="162"/>
      <c r="G28" s="163">
        <f>C28*$G$5</f>
        <v>33519.3239938953</v>
      </c>
      <c r="H28" s="163">
        <f>D28*$H$5</f>
        <v>136104.620934075</v>
      </c>
      <c r="I28" s="163">
        <f>D28*$I$5</f>
        <v>274518.709417935</v>
      </c>
      <c r="J28" s="163">
        <f>E28*$J$5</f>
        <v>418303.838980914</v>
      </c>
      <c r="K28" s="163">
        <f>E28*$K$5</f>
        <v>746971.141037346</v>
      </c>
      <c r="L28" s="163">
        <f>B28*$L$5</f>
        <v>843770.150390945</v>
      </c>
      <c r="M28" s="164" t="s">
        <v>243</v>
      </c>
      <c r="N28" s="163">
        <f>C28*$N$5</f>
        <v>16759.6619969476</v>
      </c>
      <c r="O28" s="163">
        <f>D28*$O$5</f>
        <v>68052.3104670373</v>
      </c>
      <c r="P28" s="163">
        <f>D28*$P$5</f>
        <v>164742.018551425</v>
      </c>
      <c r="Q28" s="163">
        <f>E28*$Q$5</f>
        <v>343606.724877179</v>
      </c>
      <c r="R28" s="163">
        <f>E28*$R$5</f>
        <v>746971.141037346</v>
      </c>
      <c r="S28" s="163">
        <f>B28*$S$5</f>
        <v>750017.911458618</v>
      </c>
      <c r="T28" s="143" t="s">
        <v>243</v>
      </c>
    </row>
    <row r="29" ht="12.75" customHeight="1" spans="1:20" x14ac:dyDescent="0.25">
      <c r="A29" s="143">
        <v>2042</v>
      </c>
      <c r="B29" s="143">
        <f>B28*(1+$G$1)</f>
        <v>1.92454596080281</v>
      </c>
      <c r="C29" s="143">
        <f>C28*(1+$G$1)</f>
        <v>2.45744529623815</v>
      </c>
      <c r="D29" s="143">
        <f>D28*(1+$G$1)</f>
        <v>3.16058332413426</v>
      </c>
      <c r="E29" s="143">
        <f>E28*(1+$G$1)</f>
        <v>3.06676471664293</v>
      </c>
      <c r="F29" s="162"/>
      <c r="G29" s="163">
        <f>C29*$G$5</f>
        <v>34404.2341473341</v>
      </c>
      <c r="H29" s="163">
        <f>D29*$H$5</f>
        <v>139697.782926734</v>
      </c>
      <c r="I29" s="163">
        <f>D29*$I$5</f>
        <v>281766.003346569</v>
      </c>
      <c r="J29" s="163">
        <f>E29*$J$5</f>
        <v>429347.06033001</v>
      </c>
      <c r="K29" s="163">
        <f>E29*$K$5</f>
        <v>766691.179160732</v>
      </c>
      <c r="L29" s="163">
        <f>B29*$L$5</f>
        <v>866045.682361266</v>
      </c>
      <c r="M29" s="164" t="s">
        <v>243</v>
      </c>
      <c r="N29" s="163">
        <f>C29*$N$5</f>
        <v>17202.1170736671</v>
      </c>
      <c r="O29" s="163">
        <f>D29*$O$5</f>
        <v>69848.8914633671</v>
      </c>
      <c r="P29" s="163">
        <f>D29*$P$5</f>
        <v>169091.207841183</v>
      </c>
      <c r="Q29" s="163">
        <f>E29*$Q$5</f>
        <v>352677.942413937</v>
      </c>
      <c r="R29" s="163">
        <f>E29*$R$5</f>
        <v>766691.179160732</v>
      </c>
      <c r="S29" s="163">
        <f>B29*$S$5</f>
        <v>769818.384321126</v>
      </c>
      <c r="T29" s="143" t="s">
        <v>243</v>
      </c>
    </row>
    <row r="30" ht="12.75" customHeight="1" spans="1:20" x14ac:dyDescent="0.25">
      <c r="A30" s="143">
        <v>2043</v>
      </c>
      <c r="B30" s="143">
        <f>B29*(1+$G$1)</f>
        <v>1.97535397416801</v>
      </c>
      <c r="C30" s="143">
        <f>C29*(1+$G$1)</f>
        <v>2.52232185205884</v>
      </c>
      <c r="D30" s="143">
        <f>D29*(1+$G$1)</f>
        <v>3.2440227238914</v>
      </c>
      <c r="E30" s="143">
        <f>E29*(1+$G$1)</f>
        <v>3.1477273051623</v>
      </c>
      <c r="F30" s="162"/>
      <c r="G30" s="163">
        <f>C30*$G$5</f>
        <v>35312.5059288237</v>
      </c>
      <c r="H30" s="163">
        <f>D30*$H$5</f>
        <v>143385.804396</v>
      </c>
      <c r="I30" s="163">
        <f>D30*$I$5</f>
        <v>289204.625834918</v>
      </c>
      <c r="J30" s="163">
        <f>E30*$J$5</f>
        <v>440681.822722722</v>
      </c>
      <c r="K30" s="163">
        <f>E30*$K$5</f>
        <v>786931.826290576</v>
      </c>
      <c r="L30" s="163">
        <f>B30*$L$5</f>
        <v>888909.288375604</v>
      </c>
      <c r="M30" s="164" t="s">
        <v>243</v>
      </c>
      <c r="N30" s="163">
        <f>C30*$N$5</f>
        <v>17656.2529644119</v>
      </c>
      <c r="O30" s="163">
        <f>D30*$O$5</f>
        <v>71692.902198</v>
      </c>
      <c r="P30" s="163">
        <f>D30*$P$5</f>
        <v>173555.21572819</v>
      </c>
      <c r="Q30" s="163">
        <f>E30*$Q$5</f>
        <v>361988.640093665</v>
      </c>
      <c r="R30" s="163">
        <f>E30*$R$5</f>
        <v>786931.826290576</v>
      </c>
      <c r="S30" s="163">
        <f>B30*$S$5</f>
        <v>790141.589667203</v>
      </c>
      <c r="T30" s="143" t="s">
        <v>243</v>
      </c>
    </row>
    <row r="31" ht="12.75" customHeight="1" spans="1:20" x14ac:dyDescent="0.25">
      <c r="A31" s="143">
        <v>2044</v>
      </c>
      <c r="B31" s="143">
        <f>B30*(1+$G$1)</f>
        <v>2.02750331908604</v>
      </c>
      <c r="C31" s="143">
        <f>C30*(1+$G$1)</f>
        <v>2.58891114895319</v>
      </c>
      <c r="D31" s="143">
        <f>D30*(1+$G$1)</f>
        <v>3.32966492380213</v>
      </c>
      <c r="E31" s="143">
        <f>E30*(1+$G$1)</f>
        <v>3.23082730601859</v>
      </c>
      <c r="F31" s="162"/>
      <c r="G31" s="163">
        <f>C31*$G$5</f>
        <v>36244.7560853447</v>
      </c>
      <c r="H31" s="163">
        <f>D31*$H$5</f>
        <v>147171.189632054</v>
      </c>
      <c r="I31" s="163">
        <f>D31*$I$5</f>
        <v>296839.62795696</v>
      </c>
      <c r="J31" s="163">
        <f>E31*$J$5</f>
        <v>452315.822842602</v>
      </c>
      <c r="K31" s="163">
        <f>E31*$K$5</f>
        <v>807706.826504647</v>
      </c>
      <c r="L31" s="163">
        <f>B31*$L$5</f>
        <v>912376.49358872</v>
      </c>
      <c r="M31" s="164" t="s">
        <v>243</v>
      </c>
      <c r="N31" s="163">
        <f>C31*$N$5</f>
        <v>18122.3780426723</v>
      </c>
      <c r="O31" s="163">
        <f>D31*$O$5</f>
        <v>73585.5948160271</v>
      </c>
      <c r="P31" s="163">
        <f>D31*$P$5</f>
        <v>178137.073423414</v>
      </c>
      <c r="Q31" s="163">
        <f>E31*$Q$5</f>
        <v>371545.140192138</v>
      </c>
      <c r="R31" s="163">
        <f>E31*$R$5</f>
        <v>807706.826504647</v>
      </c>
      <c r="S31" s="163">
        <f>B31*$S$5</f>
        <v>811001.327634418</v>
      </c>
      <c r="T31" s="143" t="s">
        <v>243</v>
      </c>
    </row>
    <row r="32" ht="12.75" customHeight="1" spans="1:20" x14ac:dyDescent="0.25">
      <c r="A32" s="143">
        <v>2045</v>
      </c>
      <c r="B32" s="143">
        <f>B31*(1+$G$1)</f>
        <v>2.08102940670992</v>
      </c>
      <c r="C32" s="143">
        <f>C31*(1+$G$1)</f>
        <v>2.65725840328556</v>
      </c>
      <c r="D32" s="143">
        <f>D31*(1+$G$1)</f>
        <v>3.41756807779051</v>
      </c>
      <c r="E32" s="143">
        <f>E31*(1+$G$1)</f>
        <v>3.31612114689748</v>
      </c>
      <c r="F32" s="162"/>
      <c r="G32" s="163">
        <f>C32*$G$5</f>
        <v>37201.6176459978</v>
      </c>
      <c r="H32" s="163">
        <f>D32*$H$5</f>
        <v>151056.509038341</v>
      </c>
      <c r="I32" s="163">
        <f>D32*$I$5</f>
        <v>304676.194135024</v>
      </c>
      <c r="J32" s="163">
        <f>E32*$J$5</f>
        <v>464256.960565647</v>
      </c>
      <c r="K32" s="163">
        <f>E32*$K$5</f>
        <v>829030.28672437</v>
      </c>
      <c r="L32" s="163">
        <f>B32*$L$5</f>
        <v>936463.233019462</v>
      </c>
      <c r="M32" s="164" t="s">
        <v>243</v>
      </c>
      <c r="N32" s="163">
        <f>C32*$N$5</f>
        <v>18600.8088229989</v>
      </c>
      <c r="O32" s="163">
        <f>D32*$O$5</f>
        <v>75528.2545191703</v>
      </c>
      <c r="P32" s="163">
        <f>D32*$P$5</f>
        <v>182839.892161792</v>
      </c>
      <c r="Q32" s="163">
        <f>E32*$Q$5</f>
        <v>381353.93189321</v>
      </c>
      <c r="R32" s="163">
        <f>E32*$R$5</f>
        <v>829030.28672437</v>
      </c>
      <c r="S32" s="163">
        <f>B32*$S$5</f>
        <v>832411.762683966</v>
      </c>
      <c r="T32" s="143" t="s">
        <v>243</v>
      </c>
    </row>
    <row r="33" ht="12.75" customHeight="1" spans="1:20" x14ac:dyDescent="0.25">
      <c r="A33" s="143">
        <v>2046</v>
      </c>
      <c r="B33" s="143">
        <f>B32*(1+$G$1)</f>
        <v>2.13596858304706</v>
      </c>
      <c r="C33" s="143">
        <f>C32*(1+$G$1)</f>
        <v>2.72741002513229</v>
      </c>
      <c r="D33" s="143">
        <f>D32*(1+$G$1)</f>
        <v>3.50779187504418</v>
      </c>
      <c r="E33" s="143">
        <f>E32*(1+$G$1)</f>
        <v>3.40366674517557</v>
      </c>
      <c r="F33" s="162"/>
      <c r="G33" s="163">
        <f>C33*$G$5</f>
        <v>38183.7403518521</v>
      </c>
      <c r="H33" s="163">
        <f>D33*$H$5</f>
        <v>155044.400876953</v>
      </c>
      <c r="I33" s="163">
        <f>D33*$I$5</f>
        <v>312719.645660189</v>
      </c>
      <c r="J33" s="163">
        <f>E33*$J$5</f>
        <v>476513.34432458</v>
      </c>
      <c r="K33" s="163">
        <f>E33*$K$5</f>
        <v>850916.686293893</v>
      </c>
      <c r="L33" s="163">
        <f>B33*$L$5</f>
        <v>961185.862371176</v>
      </c>
      <c r="M33" s="164" t="s">
        <v>243</v>
      </c>
      <c r="N33" s="163">
        <f>C33*$N$5</f>
        <v>19091.8701759261</v>
      </c>
      <c r="O33" s="163">
        <f>D33*$O$5</f>
        <v>77522.2004384763</v>
      </c>
      <c r="P33" s="163">
        <f>D33*$P$5</f>
        <v>187666.865314864</v>
      </c>
      <c r="Q33" s="163">
        <f>E33*$Q$5</f>
        <v>391421.675695191</v>
      </c>
      <c r="R33" s="163">
        <f>E33*$R$5</f>
        <v>850916.686293893</v>
      </c>
      <c r="S33" s="163">
        <f>B33*$S$5</f>
        <v>854387.433218823</v>
      </c>
      <c r="T33" s="143" t="s">
        <v>243</v>
      </c>
    </row>
    <row r="34" ht="12.75" customHeight="1" spans="1:20" x14ac:dyDescent="0.25">
      <c r="A34" s="143">
        <v>2047</v>
      </c>
      <c r="B34" s="143">
        <f>B33*(1+$G$1)</f>
        <v>2.1923581536395</v>
      </c>
      <c r="C34" s="143">
        <f>C33*(1+$G$1)</f>
        <v>2.79941364979579</v>
      </c>
      <c r="D34" s="143">
        <f>D33*(1+$G$1)</f>
        <v>3.60039758054534</v>
      </c>
      <c r="E34" s="143">
        <f>E33*(1+$G$1)</f>
        <v>3.49352354724821</v>
      </c>
      <c r="F34" s="162"/>
      <c r="G34" s="163">
        <f>C34*$G$5</f>
        <v>39191.791097141</v>
      </c>
      <c r="H34" s="163">
        <f>D34*$H$5</f>
        <v>159137.573060104</v>
      </c>
      <c r="I34" s="163">
        <f>D34*$I$5</f>
        <v>320975.444305618</v>
      </c>
      <c r="J34" s="163">
        <f>E34*$J$5</f>
        <v>489093.296614749</v>
      </c>
      <c r="K34" s="163">
        <f>E34*$K$5</f>
        <v>873380.886812052</v>
      </c>
      <c r="L34" s="163">
        <f>B34*$L$5</f>
        <v>986561.169137775</v>
      </c>
      <c r="M34" s="164" t="s">
        <v>243</v>
      </c>
      <c r="N34" s="163">
        <f>C34*$N$5</f>
        <v>19595.8955485705</v>
      </c>
      <c r="O34" s="163">
        <f>D34*$O$5</f>
        <v>79568.7865300521</v>
      </c>
      <c r="P34" s="163">
        <f>D34*$P$5</f>
        <v>192621.270559176</v>
      </c>
      <c r="Q34" s="163">
        <f>E34*$Q$5</f>
        <v>401755.207933544</v>
      </c>
      <c r="R34" s="163">
        <f>E34*$R$5</f>
        <v>873380.886812052</v>
      </c>
      <c r="S34" s="163">
        <f>B34*$S$5</f>
        <v>876943.2614558</v>
      </c>
      <c r="T34" s="143" t="s">
        <v>243</v>
      </c>
    </row>
    <row r="35" ht="12.75" customHeight="1" spans="1:20" x14ac:dyDescent="0.25">
      <c r="A35" s="143">
        <v>2048</v>
      </c>
      <c r="B35" s="143">
        <f>B34*(1+$G$1)</f>
        <v>2.25023640889558</v>
      </c>
      <c r="C35" s="143">
        <f>C34*(1+$G$1)</f>
        <v>2.87331817015039</v>
      </c>
      <c r="D35" s="143">
        <f>D34*(1+$G$1)</f>
        <v>3.69544807667174</v>
      </c>
      <c r="E35" s="143">
        <f>E34*(1+$G$1)</f>
        <v>3.58575256889556</v>
      </c>
      <c r="F35" s="162"/>
      <c r="G35" s="163">
        <f>C35*$G$5</f>
        <v>40226.4543821055</v>
      </c>
      <c r="H35" s="163">
        <f>D35*$H$5</f>
        <v>163338.804988891</v>
      </c>
      <c r="I35" s="163">
        <f>D35*$I$5</f>
        <v>329449.196035286</v>
      </c>
      <c r="J35" s="163">
        <f>E35*$J$5</f>
        <v>502005.359645378</v>
      </c>
      <c r="K35" s="163">
        <f>E35*$K$5</f>
        <v>896438.14222389</v>
      </c>
      <c r="L35" s="163">
        <f>B35*$L$5</f>
        <v>1012606.38400301</v>
      </c>
      <c r="M35" s="164" t="s">
        <v>243</v>
      </c>
      <c r="N35" s="163">
        <f>C35*$N$5</f>
        <v>20113.2271910528</v>
      </c>
      <c r="O35" s="163">
        <f>D35*$O$5</f>
        <v>81669.4024944455</v>
      </c>
      <c r="P35" s="163">
        <f>D35*$P$5</f>
        <v>197706.472101938</v>
      </c>
      <c r="Q35" s="163">
        <f>E35*$Q$5</f>
        <v>412361.545422989</v>
      </c>
      <c r="R35" s="163">
        <f>E35*$R$5</f>
        <v>896438.14222389</v>
      </c>
      <c r="S35" s="163">
        <f>B35*$S$5</f>
        <v>900094.563558233</v>
      </c>
      <c r="T35" s="143" t="s">
        <v>243</v>
      </c>
    </row>
    <row r="36" ht="12.75" customHeight="1" spans="1:20" x14ac:dyDescent="0.25">
      <c r="A36" s="143">
        <v>2049</v>
      </c>
      <c r="B36" s="143">
        <f>B35*(1+$G$1)</f>
        <v>2.30964265009043</v>
      </c>
      <c r="C36" s="143">
        <f>C35*(1+$G$1)</f>
        <v>2.94917376984237</v>
      </c>
      <c r="D36" s="143">
        <f>D35*(1+$G$1)</f>
        <v>3.79300790589588</v>
      </c>
      <c r="E36" s="143">
        <f>E35*(1+$G$1)</f>
        <v>3.6804164367144</v>
      </c>
      <c r="F36" s="162"/>
      <c r="G36" s="163">
        <f>C36*$G$5</f>
        <v>41288.4327777931</v>
      </c>
      <c r="H36" s="163">
        <f>D36*$H$5</f>
        <v>167650.949440598</v>
      </c>
      <c r="I36" s="163">
        <f>D36*$I$5</f>
        <v>338146.654810617</v>
      </c>
      <c r="J36" s="163">
        <f>E36*$J$5</f>
        <v>515258.301140016</v>
      </c>
      <c r="K36" s="163">
        <f>E36*$K$5</f>
        <v>920104.1091786</v>
      </c>
      <c r="L36" s="163">
        <f>B36*$L$5</f>
        <v>1039339.19254069</v>
      </c>
      <c r="M36" s="164" t="s">
        <v>243</v>
      </c>
      <c r="N36" s="163">
        <f>C36*$N$5</f>
        <v>20644.2163888966</v>
      </c>
      <c r="O36" s="163">
        <f>D36*$O$5</f>
        <v>83825.4747202989</v>
      </c>
      <c r="P36" s="163">
        <f>D36*$P$5</f>
        <v>202925.922965429</v>
      </c>
      <c r="Q36" s="163">
        <f>E36*$Q$5</f>
        <v>423247.890222156</v>
      </c>
      <c r="R36" s="163">
        <f>E36*$R$5</f>
        <v>920104.1091786</v>
      </c>
      <c r="S36" s="163">
        <f>B36*$S$5</f>
        <v>923857.06003617</v>
      </c>
      <c r="T36" s="143" t="s">
        <v>243</v>
      </c>
    </row>
    <row r="37" ht="12.75" customHeight="1" spans="1:20" x14ac:dyDescent="0.25">
      <c r="A37" s="143">
        <v>2050</v>
      </c>
      <c r="B37" s="143">
        <f>B36*(1+$G$1)</f>
        <v>2.37061721605281</v>
      </c>
      <c r="C37" s="143">
        <f>C36*(1+$G$1)</f>
        <v>3.0270319573662</v>
      </c>
      <c r="D37" s="143">
        <f>D36*(1+$G$1)</f>
        <v>3.89314331461153</v>
      </c>
      <c r="E37" s="143">
        <f>E36*(1+$G$1)</f>
        <v>3.77757943064366</v>
      </c>
      <c r="F37" s="162"/>
      <c r="G37" s="163">
        <f>C37*$G$5</f>
        <v>42378.4474031269</v>
      </c>
      <c r="H37" s="163">
        <f>D37*$H$5</f>
        <v>172076.934505829</v>
      </c>
      <c r="I37" s="163">
        <f>D37*$I$5</f>
        <v>347073.726497618</v>
      </c>
      <c r="J37" s="163">
        <f>E37*$J$5</f>
        <v>528861.120290113</v>
      </c>
      <c r="K37" s="163">
        <f>E37*$K$5</f>
        <v>944394.857660916</v>
      </c>
      <c r="L37" s="163">
        <f>B37*$L$5</f>
        <v>1066777.74722377</v>
      </c>
      <c r="M37" s="164" t="s">
        <v>243</v>
      </c>
      <c r="N37" s="163">
        <f>C37*$N$5</f>
        <v>21189.2237015634</v>
      </c>
      <c r="O37" s="163">
        <f>D37*$O$5</f>
        <v>86038.4672529147</v>
      </c>
      <c r="P37" s="163">
        <f>D37*$P$5</f>
        <v>208283.167331717</v>
      </c>
      <c r="Q37" s="163">
        <f>E37*$Q$5</f>
        <v>434421.634524021</v>
      </c>
      <c r="R37" s="163">
        <f>E37*$R$5</f>
        <v>944394.857660916</v>
      </c>
      <c r="S37" s="163">
        <f>B37*$S$5</f>
        <v>948246.886421125</v>
      </c>
      <c r="T37" s="143" t="s">
        <v>243</v>
      </c>
    </row>
    <row r="38" ht="12.75" customHeight="1" spans="1:20" x14ac:dyDescent="0.25">
      <c r="A38" s="143">
        <v>2051</v>
      </c>
      <c r="B38" s="143">
        <f>B37*(1+$G$1)</f>
        <v>2.43320151055661</v>
      </c>
      <c r="C38" s="143">
        <f>C37*(1+$G$1)</f>
        <v>3.10694560104067</v>
      </c>
      <c r="D38" s="143">
        <f>D37*(1+$G$1)</f>
        <v>3.99592229811727</v>
      </c>
      <c r="E38" s="143">
        <f>E37*(1+$G$1)</f>
        <v>3.87730752761265</v>
      </c>
      <c r="F38" s="162"/>
      <c r="G38" s="163">
        <f>C38*$G$5</f>
        <v>43497.2384145694</v>
      </c>
      <c r="H38" s="163">
        <f>D38*$H$5</f>
        <v>176619.765576783</v>
      </c>
      <c r="I38" s="163">
        <f>D38*$I$5</f>
        <v>356236.472877155</v>
      </c>
      <c r="J38" s="163">
        <f>E38*$J$5</f>
        <v>542823.053865772</v>
      </c>
      <c r="K38" s="163">
        <f>E38*$K$5</f>
        <v>969326.881903164</v>
      </c>
      <c r="L38" s="163">
        <f>B38*$L$5</f>
        <v>1094940.67975047</v>
      </c>
      <c r="M38" s="164" t="s">
        <v>243</v>
      </c>
      <c r="N38" s="163">
        <f>C38*$N$5</f>
        <v>21748.6192072847</v>
      </c>
      <c r="O38" s="163">
        <f>D38*$O$5</f>
        <v>88309.8827883917</v>
      </c>
      <c r="P38" s="163">
        <f>D38*$P$5</f>
        <v>213781.842949274</v>
      </c>
      <c r="Q38" s="163">
        <f>E38*$Q$5</f>
        <v>445890.365675455</v>
      </c>
      <c r="R38" s="163">
        <f>E38*$R$5</f>
        <v>969326.881903164</v>
      </c>
      <c r="S38" s="163">
        <f>B38*$S$5</f>
        <v>973280.604222643</v>
      </c>
      <c r="T38" s="143" t="s">
        <v>243</v>
      </c>
    </row>
    <row r="39" ht="12.75" customHeight="1" spans="1:20" x14ac:dyDescent="0.25">
      <c r="A39" s="143">
        <v>2052</v>
      </c>
      <c r="B39" s="143">
        <f>B38*(1+$G$1)</f>
        <v>2.4974380304353</v>
      </c>
      <c r="C39" s="143">
        <f>C38*(1+$G$1)</f>
        <v>3.18896896490814</v>
      </c>
      <c r="D39" s="143">
        <f>D38*(1+$G$1)</f>
        <v>4.10141464678757</v>
      </c>
      <c r="E39" s="143">
        <f>E38*(1+$G$1)</f>
        <v>3.97966844634163</v>
      </c>
      <c r="F39" s="162"/>
      <c r="G39" s="163">
        <f>C39*$G$5</f>
        <v>44645.565508714</v>
      </c>
      <c r="H39" s="163">
        <f>D39*$H$5</f>
        <v>181282.52738801</v>
      </c>
      <c r="I39" s="163">
        <f>D39*$I$5</f>
        <v>365641.115761112</v>
      </c>
      <c r="J39" s="163">
        <f>E39*$J$5</f>
        <v>557153.582487828</v>
      </c>
      <c r="K39" s="163">
        <f>E39*$K$5</f>
        <v>994917.111585407</v>
      </c>
      <c r="L39" s="163">
        <f>B39*$L$5</f>
        <v>1123847.11369589</v>
      </c>
      <c r="M39" s="164" t="s">
        <v>243</v>
      </c>
      <c r="N39" s="163">
        <f>C39*$N$5</f>
        <v>22322.782754357</v>
      </c>
      <c r="O39" s="163">
        <f>D39*$O$5</f>
        <v>90641.2636940052</v>
      </c>
      <c r="P39" s="163">
        <f>D39*$P$5</f>
        <v>219425.683603135</v>
      </c>
      <c r="Q39" s="163">
        <f>E39*$Q$5</f>
        <v>457661.871329287</v>
      </c>
      <c r="R39" s="163">
        <f>E39*$R$5</f>
        <v>994917.111585407</v>
      </c>
      <c r="S39" s="163">
        <f>B39*$S$5</f>
        <v>998975.21217412</v>
      </c>
      <c r="T39" s="143" t="s">
        <v>243</v>
      </c>
    </row>
    <row r="40" ht="12.75" customHeight="1" spans="1:20" x14ac:dyDescent="0.25">
      <c r="A40" s="143">
        <v>2053</v>
      </c>
      <c r="B40" s="143">
        <f>B39*(1+$G$1)</f>
        <v>2.56337039443879</v>
      </c>
      <c r="C40" s="143">
        <f>C39*(1+$G$1)</f>
        <v>3.27315774558172</v>
      </c>
      <c r="D40" s="143">
        <f>D39*(1+$G$1)</f>
        <v>4.20969199346276</v>
      </c>
      <c r="E40" s="143">
        <f>E39*(1+$G$1)</f>
        <v>4.08473169332505</v>
      </c>
      <c r="F40" s="162"/>
      <c r="G40" s="163">
        <f>C40*$G$5</f>
        <v>45824.2084381441</v>
      </c>
      <c r="H40" s="163">
        <f>D40*$H$5</f>
        <v>186068.386111054</v>
      </c>
      <c r="I40" s="163">
        <f>D40*$I$5</f>
        <v>375294.041217205</v>
      </c>
      <c r="J40" s="163">
        <f>E40*$J$5</f>
        <v>571862.437065507</v>
      </c>
      <c r="K40" s="163">
        <f>E40*$K$5</f>
        <v>1021182.92333126</v>
      </c>
      <c r="L40" s="163">
        <f>B40*$L$5</f>
        <v>1153516.67749746</v>
      </c>
      <c r="M40" s="164" t="s">
        <v>243</v>
      </c>
      <c r="N40" s="163">
        <f>C40*$N$5</f>
        <v>22912.104219072</v>
      </c>
      <c r="O40" s="163">
        <f>D40*$O$5</f>
        <v>93034.193055527</v>
      </c>
      <c r="P40" s="163">
        <f>D40*$P$5</f>
        <v>225218.521650258</v>
      </c>
      <c r="Q40" s="163">
        <f>E40*$Q$5</f>
        <v>469744.14473238</v>
      </c>
      <c r="R40" s="163">
        <f>E40*$R$5</f>
        <v>1021182.92333126</v>
      </c>
      <c r="S40" s="163">
        <f>B40*$S$5</f>
        <v>1025348.15777552</v>
      </c>
      <c r="T40" s="143" t="s">
        <v>243</v>
      </c>
    </row>
    <row r="41" ht="12.75" customHeight="1" spans="1:20" x14ac:dyDescent="0.25">
      <c r="A41" s="143">
        <v>2054</v>
      </c>
      <c r="B41" s="143">
        <f>B40*(1+$G$1)</f>
        <v>2.63104337285198</v>
      </c>
      <c r="C41" s="143">
        <f>C40*(1+$G$1)</f>
        <v>3.35956911006508</v>
      </c>
      <c r="D41" s="143">
        <f>D40*(1+$G$1)</f>
        <v>4.32082786209018</v>
      </c>
      <c r="E41" s="143">
        <f>E40*(1+$G$1)</f>
        <v>4.19256861002883</v>
      </c>
      <c r="F41" s="162"/>
      <c r="G41" s="163">
        <f>C41*$G$5</f>
        <v>47033.9675409111</v>
      </c>
      <c r="H41" s="163">
        <f>D41*$H$5</f>
        <v>190980.591504386</v>
      </c>
      <c r="I41" s="163">
        <f>D41*$I$5</f>
        <v>385201.803905339</v>
      </c>
      <c r="J41" s="163">
        <f>E41*$J$5</f>
        <v>586959.605404036</v>
      </c>
      <c r="K41" s="163">
        <f>E41*$K$5</f>
        <v>1048142.15250721</v>
      </c>
      <c r="L41" s="163">
        <f>B41*$L$5</f>
        <v>1183969.51778339</v>
      </c>
      <c r="M41" s="164" t="s">
        <v>243</v>
      </c>
      <c r="N41" s="163">
        <f>C41*$N$5</f>
        <v>23516.9837704555</v>
      </c>
      <c r="O41" s="163">
        <f>D41*$O$5</f>
        <v>95490.2957521929</v>
      </c>
      <c r="P41" s="163">
        <f>D41*$P$5</f>
        <v>231164.290621824</v>
      </c>
      <c r="Q41" s="163">
        <f>E41*$Q$5</f>
        <v>482145.390153315</v>
      </c>
      <c r="R41" s="163">
        <f>E41*$R$5</f>
        <v>1048142.15250721</v>
      </c>
      <c r="S41" s="163">
        <f>B41*$S$5</f>
        <v>1052417.34914079</v>
      </c>
      <c r="T41" s="143" t="s">
        <v>243</v>
      </c>
    </row>
    <row r="42" ht="12.75" customHeight="1" spans="1:20" x14ac:dyDescent="0.25">
      <c r="A42" s="143">
        <v>2055</v>
      </c>
      <c r="B42" s="143">
        <f>B41*(1+$G$1)</f>
        <v>2.70050291789527</v>
      </c>
      <c r="C42" s="143">
        <f>C41*(1+$G$1)</f>
        <v>3.44826173457079</v>
      </c>
      <c r="D42" s="143">
        <f>D41*(1+$G$1)</f>
        <v>4.43489771764936</v>
      </c>
      <c r="E42" s="143">
        <f>E41*(1+$G$1)</f>
        <v>4.30325242133359</v>
      </c>
      <c r="F42" s="162"/>
      <c r="G42" s="163">
        <f>C42*$G$5</f>
        <v>48275.6642839911</v>
      </c>
      <c r="H42" s="163">
        <f>D42*$H$5</f>
        <v>196022.479120102</v>
      </c>
      <c r="I42" s="163">
        <f>D42*$I$5</f>
        <v>395371.13152844</v>
      </c>
      <c r="J42" s="163">
        <f>E42*$J$5</f>
        <v>602455.338986703</v>
      </c>
      <c r="K42" s="163">
        <f>E42*$K$5</f>
        <v>1075813.1053334</v>
      </c>
      <c r="L42" s="163">
        <f>B42*$L$5</f>
        <v>1215226.31305287</v>
      </c>
      <c r="M42" s="164" t="s">
        <v>243</v>
      </c>
      <c r="N42" s="163">
        <f>C42*$N$5</f>
        <v>24137.8321419956</v>
      </c>
      <c r="O42" s="163">
        <f>D42*$O$5</f>
        <v>98011.2395600508</v>
      </c>
      <c r="P42" s="163">
        <f>D42*$P$5</f>
        <v>237267.027894241</v>
      </c>
      <c r="Q42" s="163">
        <f>E42*$Q$5</f>
        <v>494874.028453363</v>
      </c>
      <c r="R42" s="163">
        <f>E42*$R$5</f>
        <v>1075813.1053334</v>
      </c>
      <c r="S42" s="163">
        <f>B42*$S$5</f>
        <v>1080201.16715811</v>
      </c>
      <c r="T42" s="143" t="s">
        <v>243</v>
      </c>
    </row>
    <row r="43" ht="12.75" customHeight="1" spans="1:20" x14ac:dyDescent="0.25">
      <c r="A43" s="143">
        <v>2056</v>
      </c>
      <c r="B43" s="143">
        <f>B42*(1+$G$1)</f>
        <v>2.7717961949277</v>
      </c>
      <c r="C43" s="143">
        <f>C42*(1+$G$1)</f>
        <v>3.53929584436346</v>
      </c>
      <c r="D43" s="143">
        <f>D42*(1+$G$1)</f>
        <v>4.5519790173953</v>
      </c>
      <c r="E43" s="143">
        <f>E42*(1+$G$1)</f>
        <v>4.4168582852568</v>
      </c>
      <c r="F43" s="162"/>
      <c r="G43" s="163">
        <f>C43*$G$5</f>
        <v>49550.1418210885</v>
      </c>
      <c r="H43" s="163">
        <f>D43*$H$5</f>
        <v>201197.472568872</v>
      </c>
      <c r="I43" s="163">
        <f>D43*$I$5</f>
        <v>405808.929400791</v>
      </c>
      <c r="J43" s="163">
        <f>E43*$J$5</f>
        <v>618360.159935951</v>
      </c>
      <c r="K43" s="163">
        <f>E43*$K$5</f>
        <v>1104214.5713142</v>
      </c>
      <c r="L43" s="163">
        <f>B43*$L$5</f>
        <v>1247308.28771747</v>
      </c>
      <c r="M43" s="164" t="s">
        <v>243</v>
      </c>
      <c r="N43" s="163">
        <f>C43*$N$5</f>
        <v>24775.0709105442</v>
      </c>
      <c r="O43" s="163">
        <f>D43*$O$5</f>
        <v>100598.736284436</v>
      </c>
      <c r="P43" s="163">
        <f>D43*$P$5</f>
        <v>243530.877430648</v>
      </c>
      <c r="Q43" s="163">
        <f>E43*$Q$5</f>
        <v>507938.702804532</v>
      </c>
      <c r="R43" s="163">
        <f>E43*$R$5</f>
        <v>1104214.5713142</v>
      </c>
      <c r="S43" s="163">
        <f>B43*$S$5</f>
        <v>1108718.47797108</v>
      </c>
      <c r="T43" s="143" t="s">
        <v>243</v>
      </c>
    </row>
    <row r="44" ht="12.75" customHeight="1" spans="1:20" x14ac:dyDescent="0.25">
      <c r="A44" s="143">
        <v>2057</v>
      </c>
      <c r="B44" s="143">
        <f>B43*(1+$G$1)</f>
        <v>2.8449716144738</v>
      </c>
      <c r="C44" s="143">
        <f>C43*(1+$G$1)</f>
        <v>3.63273325465466</v>
      </c>
      <c r="D44" s="143">
        <f>D43*(1+$G$1)</f>
        <v>4.67215126345453</v>
      </c>
      <c r="E44" s="143">
        <f>E43*(1+$G$1)</f>
        <v>4.53346334398758</v>
      </c>
      <c r="F44" s="162"/>
      <c r="G44" s="163">
        <f>C44*$G$5</f>
        <v>50858.2655651652</v>
      </c>
      <c r="H44" s="163">
        <f>D44*$H$5</f>
        <v>206509.08584469</v>
      </c>
      <c r="I44" s="163">
        <f>D44*$I$5</f>
        <v>416522.285136972</v>
      </c>
      <c r="J44" s="163">
        <f>E44*$J$5</f>
        <v>634684.868158261</v>
      </c>
      <c r="K44" s="163">
        <f>E44*$K$5</f>
        <v>1133365.83599689</v>
      </c>
      <c r="L44" s="163">
        <f>B44*$L$5</f>
        <v>1280237.22651321</v>
      </c>
      <c r="M44" s="164" t="s">
        <v>243</v>
      </c>
      <c r="N44" s="163">
        <f>C44*$N$5</f>
        <v>25429.1327825826</v>
      </c>
      <c r="O44" s="163">
        <f>D44*$O$5</f>
        <v>103254.542922345</v>
      </c>
      <c r="P44" s="163">
        <f>D44*$P$5</f>
        <v>249960.092594818</v>
      </c>
      <c r="Q44" s="163">
        <f>E44*$Q$5</f>
        <v>521348.284558571</v>
      </c>
      <c r="R44" s="163">
        <f>E44*$R$5</f>
        <v>1133365.83599689</v>
      </c>
      <c r="S44" s="163">
        <f>B44*$S$5</f>
        <v>1137988.64578952</v>
      </c>
      <c r="T44" s="143" t="s">
        <v>243</v>
      </c>
    </row>
    <row r="45" ht="12.75" customHeight="1" spans="1:20" x14ac:dyDescent="0.25">
      <c r="A45" s="143">
        <v>2058</v>
      </c>
      <c r="B45" s="143">
        <f>B44*(1+$G$1)</f>
        <v>2.9200788650959</v>
      </c>
      <c r="C45" s="143">
        <f>C44*(1+$G$1)</f>
        <v>3.72863741257754</v>
      </c>
      <c r="D45" s="143">
        <f>D44*(1+$G$1)</f>
        <v>4.79549605680973</v>
      </c>
      <c r="E45" s="143">
        <f>E44*(1+$G$1)</f>
        <v>4.65314677626885</v>
      </c>
      <c r="F45" s="162"/>
      <c r="G45" s="163">
        <f>C45*$G$5</f>
        <v>52200.9237760856</v>
      </c>
      <c r="H45" s="163">
        <f>D45*$H$5</f>
        <v>211960.92571099</v>
      </c>
      <c r="I45" s="163">
        <f>D45*$I$5</f>
        <v>427518.473464588</v>
      </c>
      <c r="J45" s="163">
        <f>E45*$J$5</f>
        <v>651440.548677639</v>
      </c>
      <c r="K45" s="163">
        <f>E45*$K$5</f>
        <v>1163286.69406721</v>
      </c>
      <c r="L45" s="163">
        <f>B45*$L$5</f>
        <v>1314035.48929316</v>
      </c>
      <c r="M45" s="164" t="s">
        <v>243</v>
      </c>
      <c r="N45" s="163">
        <f>C45*$N$5</f>
        <v>26100.4618880428</v>
      </c>
      <c r="O45" s="163">
        <f>D45*$O$5</f>
        <v>105980.462855495</v>
      </c>
      <c r="P45" s="163">
        <f>D45*$P$5</f>
        <v>256559.039039321</v>
      </c>
      <c r="Q45" s="163">
        <f>E45*$Q$5</f>
        <v>535111.879270917</v>
      </c>
      <c r="R45" s="163">
        <f>E45*$R$5</f>
        <v>1163286.69406721</v>
      </c>
      <c r="S45" s="163">
        <f>B45*$S$5</f>
        <v>1168031.54603836</v>
      </c>
      <c r="T45" s="143" t="s">
        <v>243</v>
      </c>
    </row>
    <row r="46" ht="12.75" customHeight="1" spans="1:20" x14ac:dyDescent="0.25">
      <c r="A46" s="143">
        <v>2059</v>
      </c>
      <c r="B46" s="143">
        <f>B45*(1+$G$1)</f>
        <v>2.99716894713443</v>
      </c>
      <c r="C46" s="143">
        <f>C45*(1+$G$1)</f>
        <v>3.82707344026959</v>
      </c>
      <c r="D46" s="143">
        <f>D45*(1+$G$1)</f>
        <v>4.92209715270951</v>
      </c>
      <c r="E46" s="143">
        <f>E45*(1+$G$1)</f>
        <v>4.77598985116234</v>
      </c>
      <c r="F46" s="162"/>
      <c r="G46" s="163">
        <f>C46*$G$5</f>
        <v>53579.0281637742</v>
      </c>
      <c r="H46" s="163">
        <f>D46*$H$5</f>
        <v>217556.69414976</v>
      </c>
      <c r="I46" s="163">
        <f>D46*$I$5</f>
        <v>438804.961164053</v>
      </c>
      <c r="J46" s="163">
        <f>E46*$J$5</f>
        <v>668638.579162728</v>
      </c>
      <c r="K46" s="163">
        <f>E46*$K$5</f>
        <v>1193997.46279059</v>
      </c>
      <c r="L46" s="163">
        <f>B46*$L$5</f>
        <v>1348726.0262105</v>
      </c>
      <c r="M46" s="164" t="s">
        <v>243</v>
      </c>
      <c r="N46" s="163">
        <f>C46*$N$5</f>
        <v>26789.5140818871</v>
      </c>
      <c r="O46" s="163">
        <f>D46*$O$5</f>
        <v>108778.34707488</v>
      </c>
      <c r="P46" s="163">
        <f>D46*$P$5</f>
        <v>263332.197669959</v>
      </c>
      <c r="Q46" s="163">
        <f>E46*$Q$5</f>
        <v>549238.83288367</v>
      </c>
      <c r="R46" s="163">
        <f>E46*$R$5</f>
        <v>1193997.46279059</v>
      </c>
      <c r="S46" s="163">
        <f>B46*$S$5</f>
        <v>1198867.57885377</v>
      </c>
      <c r="T46" s="143" t="s">
        <v>243</v>
      </c>
    </row>
    <row r="47" ht="12.75" customHeight="1" spans="1:20" x14ac:dyDescent="0.25">
      <c r="A47" s="143">
        <v>2060</v>
      </c>
      <c r="B47" s="143">
        <f>B46*(1+$G$1)</f>
        <v>3.07629420733878</v>
      </c>
      <c r="C47" s="143">
        <f>C46*(1+$G$1)</f>
        <v>3.92810817909271</v>
      </c>
      <c r="D47" s="143">
        <f>D46*(1+$G$1)</f>
        <v>5.05204051754104</v>
      </c>
      <c r="E47" s="143">
        <f>E46*(1+$G$1)</f>
        <v>4.90207598323303</v>
      </c>
      <c r="F47" s="162"/>
      <c r="G47" s="163">
        <f>C47*$G$5</f>
        <v>54993.5145072979</v>
      </c>
      <c r="H47" s="163">
        <f>D47*$H$5</f>
        <v>223300.190875314</v>
      </c>
      <c r="I47" s="163">
        <f>D47*$I$5</f>
        <v>450389.412138784</v>
      </c>
      <c r="J47" s="163">
        <f>E47*$J$5</f>
        <v>686290.637652624</v>
      </c>
      <c r="K47" s="163">
        <f>E47*$K$5</f>
        <v>1225518.99580826</v>
      </c>
      <c r="L47" s="163">
        <f>B47*$L$5</f>
        <v>1384332.39330245</v>
      </c>
      <c r="M47" s="164" t="s">
        <v>243</v>
      </c>
      <c r="N47" s="163">
        <f>C47*$N$5</f>
        <v>27496.7572536489</v>
      </c>
      <c r="O47" s="163">
        <f>D47*$O$5</f>
        <v>111650.095437657</v>
      </c>
      <c r="P47" s="163">
        <f>D47*$P$5</f>
        <v>270284.167688446</v>
      </c>
      <c r="Q47" s="163">
        <f>E47*$Q$5</f>
        <v>563738.738071799</v>
      </c>
      <c r="R47" s="163">
        <f>E47*$R$5</f>
        <v>1225518.99580826</v>
      </c>
      <c r="S47" s="163">
        <f>B47*$S$5</f>
        <v>1230517.68293551</v>
      </c>
      <c r="T47" s="143" t="s">
        <v>243</v>
      </c>
    </row>
    <row r="48" ht="12.75" customHeight="1" spans="1:20" x14ac:dyDescent="0.25">
      <c r="A48" s="143">
        <v>2061</v>
      </c>
      <c r="B48" s="143">
        <f>B47*(1+$G$1)</f>
        <v>3.15750837441253</v>
      </c>
      <c r="C48" s="143">
        <f>C47*(1+$G$1)</f>
        <v>4.03181023502075</v>
      </c>
      <c r="D48" s="143">
        <f>D47*(1+$G$1)</f>
        <v>5.18541438720413</v>
      </c>
      <c r="E48" s="143">
        <f>E47*(1+$G$1)</f>
        <v>5.03149078919038</v>
      </c>
      <c r="F48" s="162"/>
      <c r="G48" s="163">
        <f>C48*$G$5</f>
        <v>56445.3432902906</v>
      </c>
      <c r="H48" s="163">
        <f>D48*$H$5</f>
        <v>229195.315914422</v>
      </c>
      <c r="I48" s="163">
        <f>D48*$I$5</f>
        <v>462279.692619248</v>
      </c>
      <c r="J48" s="163">
        <f>E48*$J$5</f>
        <v>704408.710486654</v>
      </c>
      <c r="K48" s="163">
        <f>E48*$K$5</f>
        <v>1257872.6972976</v>
      </c>
      <c r="L48" s="163">
        <f>B48*$L$5</f>
        <v>1420878.76848564</v>
      </c>
      <c r="M48" s="164" t="s">
        <v>243</v>
      </c>
      <c r="N48" s="163">
        <f>C48*$N$5</f>
        <v>28222.6716451453</v>
      </c>
      <c r="O48" s="163">
        <f>D48*$O$5</f>
        <v>114597.657957211</v>
      </c>
      <c r="P48" s="163">
        <f>D48*$P$5</f>
        <v>277419.669715421</v>
      </c>
      <c r="Q48" s="163">
        <f>E48*$Q$5</f>
        <v>578621.440756894</v>
      </c>
      <c r="R48" s="163">
        <f>E48*$R$5</f>
        <v>1257872.6972976</v>
      </c>
      <c r="S48" s="163">
        <f>B48*$S$5</f>
        <v>1263003.34976501</v>
      </c>
      <c r="T48" s="143" t="s">
        <v>243</v>
      </c>
    </row>
    <row r="49" ht="12.75" customHeight="1" spans="1:20" x14ac:dyDescent="0.25">
      <c r="A49" s="143">
        <v>2062</v>
      </c>
      <c r="B49" s="143">
        <f>B48*(1+$G$1)</f>
        <v>3.24086659549702</v>
      </c>
      <c r="C49" s="143">
        <f>C48*(1+$G$1)</f>
        <v>4.1382500252253</v>
      </c>
      <c r="D49" s="143">
        <f>D48*(1+$G$1)</f>
        <v>5.32230932702631</v>
      </c>
      <c r="E49" s="143">
        <f>E48*(1+$G$1)</f>
        <v>5.16432214602501</v>
      </c>
      <c r="F49" s="162"/>
      <c r="G49" s="163">
        <f>C49*$G$5</f>
        <v>57935.5003531542</v>
      </c>
      <c r="H49" s="163">
        <f>D49*$H$5</f>
        <v>235246.072254563</v>
      </c>
      <c r="I49" s="163">
        <f>D49*$I$5</f>
        <v>474483.876504396</v>
      </c>
      <c r="J49" s="163">
        <f>E49*$J$5</f>
        <v>723005.100443501</v>
      </c>
      <c r="K49" s="163">
        <f>E49*$K$5</f>
        <v>1291080.53650625</v>
      </c>
      <c r="L49" s="163">
        <f>B49*$L$5</f>
        <v>1458389.96797366</v>
      </c>
      <c r="M49" s="164" t="s">
        <v>243</v>
      </c>
      <c r="N49" s="163">
        <f>C49*$N$5</f>
        <v>28967.7501765771</v>
      </c>
      <c r="O49" s="163">
        <f>D49*$O$5</f>
        <v>117623.036127282</v>
      </c>
      <c r="P49" s="163">
        <f>D49*$P$5</f>
        <v>284743.548995908</v>
      </c>
      <c r="Q49" s="163">
        <f>E49*$Q$5</f>
        <v>593897.046792876</v>
      </c>
      <c r="R49" s="163">
        <f>E49*$R$5</f>
        <v>1291080.53650625</v>
      </c>
      <c r="S49" s="163">
        <f>B49*$S$5</f>
        <v>1296346.63819881</v>
      </c>
      <c r="T49" s="143" t="s">
        <v>243</v>
      </c>
    </row>
    <row r="50" ht="12.75" customHeight="1" spans="1:20" x14ac:dyDescent="0.25">
      <c r="A50" s="143">
        <v>2063</v>
      </c>
      <c r="B50" s="143">
        <f>B49*(1+$G$1)</f>
        <v>3.32642547361814</v>
      </c>
      <c r="C50" s="143">
        <f>C49*(1+$G$1)</f>
        <v>4.24749982589125</v>
      </c>
      <c r="D50" s="143">
        <f>D49*(1+$G$1)</f>
        <v>5.46281829325981</v>
      </c>
      <c r="E50" s="143">
        <f>E49*(1+$G$1)</f>
        <v>5.30066025068007</v>
      </c>
      <c r="F50" s="162"/>
      <c r="G50" s="163">
        <f>C50*$G$5</f>
        <v>59464.9975624775</v>
      </c>
      <c r="H50" s="163">
        <f>D50*$H$5</f>
        <v>241456.568562084</v>
      </c>
      <c r="I50" s="163">
        <f>D50*$I$5</f>
        <v>487010.250844112</v>
      </c>
      <c r="J50" s="163">
        <f>E50*$J$5</f>
        <v>742092.43509521</v>
      </c>
      <c r="K50" s="163">
        <f>E50*$K$5</f>
        <v>1325165.06267002</v>
      </c>
      <c r="L50" s="163">
        <f>B50*$L$5</f>
        <v>1496891.46312816</v>
      </c>
      <c r="M50" s="164" t="s">
        <v>243</v>
      </c>
      <c r="N50" s="163">
        <f>C50*$N$5</f>
        <v>29732.4987812387</v>
      </c>
      <c r="O50" s="163">
        <f>D50*$O$5</f>
        <v>120728.284281042</v>
      </c>
      <c r="P50" s="163">
        <f>D50*$P$5</f>
        <v>292260.7786894</v>
      </c>
      <c r="Q50" s="163">
        <f>E50*$Q$5</f>
        <v>609575.928828208</v>
      </c>
      <c r="R50" s="163">
        <f>E50*$R$5</f>
        <v>1325165.06267002</v>
      </c>
      <c r="S50" s="163">
        <f>B50*$S$5</f>
        <v>1330570.18944726</v>
      </c>
      <c r="T50" s="143" t="s">
        <v>243</v>
      </c>
    </row>
    <row r="51" ht="12.75" customHeight="1" spans="1:20" x14ac:dyDescent="0.25">
      <c r="A51" s="143">
        <v>2064</v>
      </c>
      <c r="B51" s="143">
        <f>B50*(1+$G$1)</f>
        <v>3.41424310612166</v>
      </c>
      <c r="C51" s="143">
        <f>C50*(1+$G$1)</f>
        <v>4.35963382129478</v>
      </c>
      <c r="D51" s="143">
        <f>D50*(1+$G$1)</f>
        <v>5.60703669620187</v>
      </c>
      <c r="E51" s="143">
        <f>E50*(1+$G$1)</f>
        <v>5.44059768129802</v>
      </c>
      <c r="F51" s="162"/>
      <c r="G51" s="163">
        <f>C51*$G$5</f>
        <v>61034.8734981269</v>
      </c>
      <c r="H51" s="163">
        <f>D51*$H$5</f>
        <v>247831.021972123</v>
      </c>
      <c r="I51" s="163">
        <f>D51*$I$5</f>
        <v>499867.321466397</v>
      </c>
      <c r="J51" s="163">
        <f>E51*$J$5</f>
        <v>761683.675381723</v>
      </c>
      <c r="K51" s="163">
        <f>E51*$K$5</f>
        <v>1360149.42032451</v>
      </c>
      <c r="L51" s="163">
        <f>B51*$L$5</f>
        <v>1536409.39775475</v>
      </c>
      <c r="M51" s="164" t="s">
        <v>243</v>
      </c>
      <c r="N51" s="163">
        <f>C51*$N$5</f>
        <v>30517.4367490634</v>
      </c>
      <c r="O51" s="163">
        <f>D51*$O$5</f>
        <v>123915.510986061</v>
      </c>
      <c r="P51" s="163">
        <f>D51*$P$5</f>
        <v>299976.4632468</v>
      </c>
      <c r="Q51" s="163">
        <f>E51*$Q$5</f>
        <v>625668.733349273</v>
      </c>
      <c r="R51" s="163">
        <f>E51*$R$5</f>
        <v>1360149.42032451</v>
      </c>
      <c r="S51" s="163">
        <f>B51*$S$5</f>
        <v>1365697.24244866</v>
      </c>
      <c r="T51" s="143" t="s">
        <v>243</v>
      </c>
    </row>
    <row r="52" ht="12.75" customHeight="1" spans="1:20" x14ac:dyDescent="0.25">
      <c r="A52" s="143">
        <v>2065</v>
      </c>
      <c r="B52" s="143">
        <f>B51*(1+$G$1)</f>
        <v>3.50437912412327</v>
      </c>
      <c r="C52" s="143">
        <f>C51*(1+$G$1)</f>
        <v>4.47472815417696</v>
      </c>
      <c r="D52" s="143">
        <f>D51*(1+$G$1)</f>
        <v>5.7550624649816</v>
      </c>
      <c r="E52" s="143">
        <f>E51*(1+$G$1)</f>
        <v>5.58422946008429</v>
      </c>
      <c r="F52" s="162"/>
      <c r="G52" s="163">
        <f>C52*$G$5</f>
        <v>62646.1941584774</v>
      </c>
      <c r="H52" s="163">
        <f>D52*$H$5</f>
        <v>254373.760952187</v>
      </c>
      <c r="I52" s="163">
        <f>D52*$I$5</f>
        <v>513063.818753109</v>
      </c>
      <c r="J52" s="163">
        <f>E52*$J$5</f>
        <v>781792.124411801</v>
      </c>
      <c r="K52" s="163">
        <f>E52*$K$5</f>
        <v>1396057.36502107</v>
      </c>
      <c r="L52" s="163">
        <f>B52*$L$5</f>
        <v>1576970.60585547</v>
      </c>
      <c r="M52" s="164" t="s">
        <v>243</v>
      </c>
      <c r="N52" s="163">
        <f>C52*$N$5</f>
        <v>31323.0970792387</v>
      </c>
      <c r="O52" s="163">
        <f>D52*$O$5</f>
        <v>127186.880476093</v>
      </c>
      <c r="P52" s="163">
        <f>D52*$P$5</f>
        <v>307895.841876515</v>
      </c>
      <c r="Q52" s="163">
        <f>E52*$Q$5</f>
        <v>642186.387909693</v>
      </c>
      <c r="R52" s="163">
        <f>E52*$R$5</f>
        <v>1396057.36502107</v>
      </c>
      <c r="S52" s="163">
        <f>B52*$S$5</f>
        <v>1401751.64964931</v>
      </c>
      <c r="T52" s="143" t="s">
        <v>243</v>
      </c>
    </row>
    <row r="53" ht="12.75" customHeight="1" spans="1:20" x14ac:dyDescent="0.25">
      <c r="A53" s="143">
        <v>2066</v>
      </c>
      <c r="B53" s="143">
        <f>B52*(1+$G$1)</f>
        <v>3.59689473300012</v>
      </c>
      <c r="C53" s="143">
        <f>C52*(1+$G$1)</f>
        <v>4.59286097744723</v>
      </c>
      <c r="D53" s="143">
        <f>D52*(1+$G$1)</f>
        <v>5.90699611405711</v>
      </c>
      <c r="E53" s="143">
        <f>E52*(1+$G$1)</f>
        <v>5.73165311783052</v>
      </c>
      <c r="F53" s="162"/>
      <c r="G53" s="163">
        <f>C53*$G$5</f>
        <v>64300.0536842612</v>
      </c>
      <c r="H53" s="163">
        <f>D53*$H$5</f>
        <v>261089.228241324</v>
      </c>
      <c r="I53" s="163">
        <f>D53*$I$5</f>
        <v>526608.703568191</v>
      </c>
      <c r="J53" s="163">
        <f>E53*$J$5</f>
        <v>802431.436496272</v>
      </c>
      <c r="K53" s="163">
        <f>E53*$K$5</f>
        <v>1432913.27945763</v>
      </c>
      <c r="L53" s="163">
        <f>B53*$L$5</f>
        <v>1618602.62985006</v>
      </c>
      <c r="M53" s="164" t="s">
        <v>243</v>
      </c>
      <c r="N53" s="163">
        <f>C53*$N$5</f>
        <v>32150.0268421306</v>
      </c>
      <c r="O53" s="163">
        <f>D53*$O$5</f>
        <v>130544.614120662</v>
      </c>
      <c r="P53" s="163">
        <f>D53*$P$5</f>
        <v>316024.292102055</v>
      </c>
      <c r="Q53" s="163">
        <f>E53*$Q$5</f>
        <v>659140.108550509</v>
      </c>
      <c r="R53" s="163">
        <f>E53*$R$5</f>
        <v>1432913.27945763</v>
      </c>
      <c r="S53" s="163">
        <f>B53*$S$5</f>
        <v>1438757.89320005</v>
      </c>
      <c r="T53" s="143" t="s">
        <v>243</v>
      </c>
    </row>
    <row r="54" ht="12.75" customHeight="1" spans="1:20" x14ac:dyDescent="0.25">
      <c r="A54" s="143">
        <v>2067</v>
      </c>
      <c r="B54" s="143">
        <f>B53*(1+$G$1)</f>
        <v>3.69185275395133</v>
      </c>
      <c r="C54" s="143">
        <f>C53*(1+$G$1)</f>
        <v>4.71411250725184</v>
      </c>
      <c r="D54" s="143">
        <f>D53*(1+$G$1)</f>
        <v>6.06294081146822</v>
      </c>
      <c r="E54" s="143">
        <f>E53*(1+$G$1)</f>
        <v>5.88296876014124</v>
      </c>
      <c r="F54" s="162"/>
      <c r="G54" s="163">
        <f>C54*$G$5</f>
        <v>65997.5751015257</v>
      </c>
      <c r="H54" s="163">
        <f>D54*$H$5</f>
        <v>267981.983866895</v>
      </c>
      <c r="I54" s="163">
        <f>D54*$I$5</f>
        <v>540511.173342392</v>
      </c>
      <c r="J54" s="163">
        <f>E54*$J$5</f>
        <v>823615.626419774</v>
      </c>
      <c r="K54" s="163">
        <f>E54*$K$5</f>
        <v>1470742.19003531</v>
      </c>
      <c r="L54" s="163">
        <f>B54*$L$5</f>
        <v>1661333.7392781</v>
      </c>
      <c r="M54" s="164" t="s">
        <v>243</v>
      </c>
      <c r="N54" s="163">
        <f>C54*$N$5</f>
        <v>32998.7875507629</v>
      </c>
      <c r="O54" s="163">
        <f>D54*$O$5</f>
        <v>133990.991933448</v>
      </c>
      <c r="P54" s="163">
        <f>D54*$P$5</f>
        <v>324367.33341355</v>
      </c>
      <c r="Q54" s="163">
        <f>E54*$Q$5</f>
        <v>676541.407416243</v>
      </c>
      <c r="R54" s="163">
        <f>E54*$R$5</f>
        <v>1470742.19003531</v>
      </c>
      <c r="S54" s="163">
        <f>B54*$S$5</f>
        <v>1476741.10158053</v>
      </c>
      <c r="T54" s="143" t="s">
        <v>243</v>
      </c>
    </row>
    <row r="55" ht="12.75" customHeight="1" spans="1:20" x14ac:dyDescent="0.25">
      <c r="A55" s="143">
        <v>2068</v>
      </c>
      <c r="B55" s="143">
        <f>B54*(1+$G$1)</f>
        <v>3.78931766665564</v>
      </c>
      <c r="C55" s="143">
        <f>C54*(1+$G$1)</f>
        <v>4.83856507744329</v>
      </c>
      <c r="D55" s="143">
        <f>D54*(1+$G$1)</f>
        <v>6.22300244889098</v>
      </c>
      <c r="E55" s="143">
        <f>E54*(1+$G$1)</f>
        <v>6.03827913540897</v>
      </c>
      <c r="F55" s="162"/>
      <c r="G55" s="163">
        <f>C55*$G$5</f>
        <v>67739.911084206</v>
      </c>
      <c r="H55" s="163">
        <f>D55*$H$5</f>
        <v>275056.708240981</v>
      </c>
      <c r="I55" s="163">
        <f>D55*$I$5</f>
        <v>554780.668318631</v>
      </c>
      <c r="J55" s="163">
        <f>E55*$J$5</f>
        <v>845359.078957256</v>
      </c>
      <c r="K55" s="163">
        <f>E55*$K$5</f>
        <v>1509569.78385224</v>
      </c>
      <c r="L55" s="163">
        <f>B55*$L$5</f>
        <v>1705192.94999504</v>
      </c>
      <c r="M55" s="164" t="s">
        <v>243</v>
      </c>
      <c r="N55" s="163">
        <f>C55*$N$5</f>
        <v>33869.955542103</v>
      </c>
      <c r="O55" s="163">
        <f>D55*$O$5</f>
        <v>137528.354120491</v>
      </c>
      <c r="P55" s="163">
        <f>D55*$P$5</f>
        <v>332930.631015667</v>
      </c>
      <c r="Q55" s="163">
        <f>E55*$Q$5</f>
        <v>694402.100572032</v>
      </c>
      <c r="R55" s="163">
        <f>E55*$R$5</f>
        <v>1509569.78385224</v>
      </c>
      <c r="S55" s="163">
        <f>B55*$S$5</f>
        <v>1515727.06666226</v>
      </c>
      <c r="T55" s="143" t="s">
        <v>243</v>
      </c>
    </row>
    <row r="56" ht="12.75" customHeight="1" spans="1:20" x14ac:dyDescent="0.25">
      <c r="A56" s="143">
        <v>2069</v>
      </c>
      <c r="B56" s="143">
        <f>B55*(1+$G$1)</f>
        <v>3.88935565305535</v>
      </c>
      <c r="C56" s="143">
        <f>C55*(1+$G$1)</f>
        <v>4.96630319548779</v>
      </c>
      <c r="D56" s="143">
        <f>D55*(1+$G$1)</f>
        <v>6.3872897135417</v>
      </c>
      <c r="E56" s="143">
        <f>E55*(1+$G$1)</f>
        <v>6.19768970458377</v>
      </c>
      <c r="F56" s="162"/>
      <c r="G56" s="163">
        <f>C56*$G$5</f>
        <v>69528.244736829</v>
      </c>
      <c r="H56" s="163">
        <f>D56*$H$5</f>
        <v>282318.205338543</v>
      </c>
      <c r="I56" s="163">
        <f>D56*$I$5</f>
        <v>569426.877962243</v>
      </c>
      <c r="J56" s="163">
        <f>E56*$J$5</f>
        <v>867676.558641727</v>
      </c>
      <c r="K56" s="163">
        <f>E56*$K$5</f>
        <v>1549422.42614594</v>
      </c>
      <c r="L56" s="163">
        <f>B56*$L$5</f>
        <v>1750210.04387491</v>
      </c>
      <c r="M56" s="164" t="s">
        <v>243</v>
      </c>
      <c r="N56" s="163">
        <f>C56*$N$5</f>
        <v>34764.1223684145</v>
      </c>
      <c r="O56" s="163">
        <f>D56*$O$5</f>
        <v>141159.102669272</v>
      </c>
      <c r="P56" s="163">
        <f>D56*$P$5</f>
        <v>341719.999674481</v>
      </c>
      <c r="Q56" s="163">
        <f>E56*$Q$5</f>
        <v>712734.316027133</v>
      </c>
      <c r="R56" s="163">
        <f>E56*$R$5</f>
        <v>1549422.42614594</v>
      </c>
      <c r="S56" s="163">
        <f>B56*$S$5</f>
        <v>1555742.26122214</v>
      </c>
      <c r="T56" s="143" t="s">
        <v>243</v>
      </c>
    </row>
    <row r="57" ht="12.75" customHeight="1" spans="1:20" x14ac:dyDescent="0.25">
      <c r="A57" s="143">
        <v>2070</v>
      </c>
      <c r="B57" s="143">
        <f>B56*(1+$G$1)</f>
        <v>3.99203464229601</v>
      </c>
      <c r="C57" s="143">
        <f>C56*(1+$G$1)</f>
        <v>5.09741359984867</v>
      </c>
      <c r="D57" s="143">
        <f>D56*(1+$G$1)</f>
        <v>6.5559141619792</v>
      </c>
      <c r="E57" s="143">
        <f>E56*(1+$G$1)</f>
        <v>6.36130871278478</v>
      </c>
      <c r="F57" s="162"/>
      <c r="G57" s="163">
        <f>C57*$G$5</f>
        <v>71363.7903978813</v>
      </c>
      <c r="H57" s="163">
        <f>D57*$H$5</f>
        <v>289771.405959481</v>
      </c>
      <c r="I57" s="163">
        <f>D57*$I$5</f>
        <v>584459.747540446</v>
      </c>
      <c r="J57" s="163">
        <f>E57*$J$5</f>
        <v>890583.219789869</v>
      </c>
      <c r="K57" s="163">
        <f>E57*$K$5</f>
        <v>1590327.17819619</v>
      </c>
      <c r="L57" s="163">
        <f>B57*$L$5</f>
        <v>1796415.58903321</v>
      </c>
      <c r="M57" s="164" t="s">
        <v>243</v>
      </c>
      <c r="N57" s="163">
        <f>C57*$N$5</f>
        <v>35681.8951989407</v>
      </c>
      <c r="O57" s="163">
        <f>D57*$O$5</f>
        <v>144885.70297974</v>
      </c>
      <c r="P57" s="163">
        <f>D57*$P$5</f>
        <v>350741.407665887</v>
      </c>
      <c r="Q57" s="163">
        <f>E57*$Q$5</f>
        <v>731550.501970249</v>
      </c>
      <c r="R57" s="163">
        <f>E57*$R$5</f>
        <v>1590327.17819619</v>
      </c>
      <c r="S57" s="163">
        <f>B57*$S$5</f>
        <v>1596813.8569184</v>
      </c>
      <c r="T57" s="143" t="s">
        <v>243</v>
      </c>
    </row>
    <row r="58" ht="12.75" customHeight="1" spans="1:20" x14ac:dyDescent="0.25">
      <c r="A58" s="143">
        <v>2071</v>
      </c>
      <c r="B58" s="143">
        <f>B57*(1+$G$1)</f>
        <v>4.09742435685263</v>
      </c>
      <c r="C58" s="143">
        <f>C57*(1+$G$1)</f>
        <v>5.23198531888467</v>
      </c>
      <c r="D58" s="143">
        <f>D57*(1+$G$1)</f>
        <v>6.72899029585545</v>
      </c>
      <c r="E58" s="143">
        <f>E57*(1+$G$1)</f>
        <v>6.5292472628023</v>
      </c>
      <c r="F58" s="162"/>
      <c r="G58" s="163">
        <f>C58*$G$5</f>
        <v>73247.7944643854</v>
      </c>
      <c r="H58" s="163">
        <f>D58*$H$5</f>
        <v>297421.371076811</v>
      </c>
      <c r="I58" s="163">
        <f>D58*$I$5</f>
        <v>599889.484875514</v>
      </c>
      <c r="J58" s="163">
        <f>E58*$J$5</f>
        <v>914094.616792321</v>
      </c>
      <c r="K58" s="163">
        <f>E58*$K$5</f>
        <v>1632311.81570057</v>
      </c>
      <c r="L58" s="163">
        <f>B58*$L$5</f>
        <v>1843840.96058368</v>
      </c>
      <c r="M58" s="164" t="s">
        <v>243</v>
      </c>
      <c r="N58" s="163">
        <f>C58*$N$5</f>
        <v>36623.8972321927</v>
      </c>
      <c r="O58" s="163">
        <f>D58*$O$5</f>
        <v>148710.685538406</v>
      </c>
      <c r="P58" s="163">
        <f>D58*$P$5</f>
        <v>360000.980828267</v>
      </c>
      <c r="Q58" s="163">
        <f>E58*$Q$5</f>
        <v>750863.435222264</v>
      </c>
      <c r="R58" s="163">
        <f>E58*$R$5</f>
        <v>1632311.81570057</v>
      </c>
      <c r="S58" s="163">
        <f>B58*$S$5</f>
        <v>1638969.74274105</v>
      </c>
      <c r="T58" s="143" t="s">
        <v>243</v>
      </c>
    </row>
    <row r="59" ht="12.75" customHeight="1" spans="1:20" x14ac:dyDescent="0.25">
      <c r="A59" s="143">
        <v>2072</v>
      </c>
      <c r="B59" s="143">
        <f>B58*(1+$G$1)</f>
        <v>4.20559635987354</v>
      </c>
      <c r="C59" s="143">
        <f>C58*(1+$G$1)</f>
        <v>5.37010973130323</v>
      </c>
      <c r="D59" s="143">
        <f>D58*(1+$G$1)</f>
        <v>6.90663563966604</v>
      </c>
      <c r="E59" s="143">
        <f>E58*(1+$G$1)</f>
        <v>6.70161939054028</v>
      </c>
      <c r="F59" s="162"/>
      <c r="G59" s="163">
        <f>C59*$G$5</f>
        <v>75181.5362382452</v>
      </c>
      <c r="H59" s="163">
        <f>D59*$H$5</f>
        <v>305273.295273239</v>
      </c>
      <c r="I59" s="163">
        <f>D59*$I$5</f>
        <v>615726.567276227</v>
      </c>
      <c r="J59" s="163">
        <f>E59*$J$5</f>
        <v>938226.714675639</v>
      </c>
      <c r="K59" s="163">
        <f>E59*$K$5</f>
        <v>1675404.84763507</v>
      </c>
      <c r="L59" s="163">
        <f>B59*$L$5</f>
        <v>1892518.36194309</v>
      </c>
      <c r="M59" s="164" t="s">
        <v>243</v>
      </c>
      <c r="N59" s="163">
        <f>C59*$N$5</f>
        <v>37590.7681191226</v>
      </c>
      <c r="O59" s="163">
        <f>D59*$O$5</f>
        <v>152636.647636619</v>
      </c>
      <c r="P59" s="163">
        <f>D59*$P$5</f>
        <v>369505.006722133</v>
      </c>
      <c r="Q59" s="163">
        <f>E59*$Q$5</f>
        <v>770686.229912132</v>
      </c>
      <c r="R59" s="163">
        <f>E59*$R$5</f>
        <v>1675404.84763507</v>
      </c>
      <c r="S59" s="163">
        <f>B59*$S$5</f>
        <v>1682238.54394941</v>
      </c>
      <c r="T59" s="143" t="s">
        <v>243</v>
      </c>
    </row>
    <row r="60" ht="12.75" customHeight="1" spans="1:20" x14ac:dyDescent="0.25">
      <c r="A60" s="143">
        <v>2073</v>
      </c>
      <c r="B60" s="143">
        <f>B59*(1+$G$1)</f>
        <v>4.3166241037742</v>
      </c>
      <c r="C60" s="143">
        <f>C59*(1+$G$1)</f>
        <v>5.51188062820963</v>
      </c>
      <c r="D60" s="143">
        <f>D59*(1+$G$1)</f>
        <v>7.08897082055322</v>
      </c>
      <c r="E60" s="143">
        <f>E59*(1+$G$1)</f>
        <v>6.87854214245054</v>
      </c>
      <c r="F60" s="162"/>
      <c r="G60" s="163">
        <f>C60*$G$5</f>
        <v>77166.3287949349</v>
      </c>
      <c r="H60" s="163">
        <f>D60*$H$5</f>
        <v>313332.510268452</v>
      </c>
      <c r="I60" s="163">
        <f>D60*$I$5</f>
        <v>631981.748652319</v>
      </c>
      <c r="J60" s="163">
        <f>E60*$J$5</f>
        <v>962995.899943076</v>
      </c>
      <c r="K60" s="163">
        <f>E60*$K$5</f>
        <v>1719635.53561263</v>
      </c>
      <c r="L60" s="163">
        <f>B60*$L$5</f>
        <v>1942480.84669839</v>
      </c>
      <c r="M60" s="164" t="s">
        <v>243</v>
      </c>
      <c r="N60" s="163">
        <f>C60*$N$5</f>
        <v>38583.1643974674</v>
      </c>
      <c r="O60" s="163">
        <f>D60*$O$5</f>
        <v>156666.255134226</v>
      </c>
      <c r="P60" s="163">
        <f>D60*$P$5</f>
        <v>379259.938899597</v>
      </c>
      <c r="Q60" s="163">
        <f>E60*$Q$5</f>
        <v>791032.346381812</v>
      </c>
      <c r="R60" s="163">
        <f>E60*$R$5</f>
        <v>1719635.53561263</v>
      </c>
      <c r="S60" s="163">
        <f>B60*$S$5</f>
        <v>1726649.64150968</v>
      </c>
      <c r="T60" s="143" t="s">
        <v>243</v>
      </c>
    </row>
    <row r="61" ht="12.75" customHeight="1" spans="1:20" x14ac:dyDescent="0.25">
      <c r="A61" s="143">
        <v>2074</v>
      </c>
      <c r="B61" s="143">
        <f>B60*(1+$G$1)</f>
        <v>4.43058298011384</v>
      </c>
      <c r="C61" s="143">
        <f>C60*(1+$G$1)</f>
        <v>5.65739427679437</v>
      </c>
      <c r="D61" s="143">
        <f>D60*(1+$G$1)</f>
        <v>7.27611965021582</v>
      </c>
      <c r="E61" s="143">
        <f>E60*(1+$G$1)</f>
        <v>7.06013565501123</v>
      </c>
      <c r="F61" s="162"/>
      <c r="G61" s="163">
        <f>C61*$G$5</f>
        <v>79203.5198751211</v>
      </c>
      <c r="H61" s="163">
        <f>D61*$H$5</f>
        <v>321604.488539539</v>
      </c>
      <c r="I61" s="163">
        <f>D61*$I$5</f>
        <v>648666.066816741</v>
      </c>
      <c r="J61" s="163">
        <f>E61*$J$5</f>
        <v>988418.991701573</v>
      </c>
      <c r="K61" s="163">
        <f>E61*$K$5</f>
        <v>1765033.91375281</v>
      </c>
      <c r="L61" s="163">
        <f>B61*$L$5</f>
        <v>1993762.34105123</v>
      </c>
      <c r="M61" s="164" t="s">
        <v>243</v>
      </c>
      <c r="N61" s="163">
        <f>C61*$N$5</f>
        <v>39601.7599375606</v>
      </c>
      <c r="O61" s="163">
        <f>D61*$O$5</f>
        <v>160802.24426977</v>
      </c>
      <c r="P61" s="163">
        <f>D61*$P$5</f>
        <v>389272.401286547</v>
      </c>
      <c r="Q61" s="163">
        <f>E61*$Q$5</f>
        <v>811915.600326292</v>
      </c>
      <c r="R61" s="163">
        <f>E61*$R$5</f>
        <v>1765033.91375281</v>
      </c>
      <c r="S61" s="163">
        <f>B61*$S$5</f>
        <v>1772233.19204553</v>
      </c>
      <c r="T61" s="143" t="s">
        <v>243</v>
      </c>
    </row>
    <row r="62" ht="12.75" customHeight="1" spans="1:20" x14ac:dyDescent="0.25">
      <c r="A62" s="143">
        <v>2075</v>
      </c>
      <c r="B62" s="143">
        <f>B61*(1+$G$1)</f>
        <v>4.54755037078884</v>
      </c>
      <c r="C62" s="143">
        <f>C61*(1+$G$1)</f>
        <v>5.80674948570174</v>
      </c>
      <c r="D62" s="143">
        <f>D61*(1+$G$1)</f>
        <v>7.46820920898152</v>
      </c>
      <c r="E62" s="143">
        <f>E61*(1+$G$1)</f>
        <v>7.24652323630353</v>
      </c>
      <c r="F62" s="162"/>
      <c r="G62" s="163">
        <f>C62*$G$5</f>
        <v>81294.4927998243</v>
      </c>
      <c r="H62" s="163">
        <f>D62*$H$5</f>
        <v>330094.847036983</v>
      </c>
      <c r="I62" s="163">
        <f>D62*$I$5</f>
        <v>665790.850980703</v>
      </c>
      <c r="J62" s="163">
        <f>E62*$J$5</f>
        <v>1014513.25308249</v>
      </c>
      <c r="K62" s="163">
        <f>E62*$K$5</f>
        <v>1811630.80907588</v>
      </c>
      <c r="L62" s="163">
        <f>B62*$L$5</f>
        <v>2046397.66685498</v>
      </c>
      <c r="M62" s="164" t="s">
        <v>243</v>
      </c>
      <c r="N62" s="163">
        <f>C62*$N$5</f>
        <v>40647.2463999122</v>
      </c>
      <c r="O62" s="163">
        <f>D62*$O$5</f>
        <v>165047.423518492</v>
      </c>
      <c r="P62" s="163">
        <f>D62*$P$5</f>
        <v>399549.192680511</v>
      </c>
      <c r="Q62" s="163">
        <f>E62*$Q$5</f>
        <v>833350.172174906</v>
      </c>
      <c r="R62" s="163">
        <f>E62*$R$5</f>
        <v>1811630.80907588</v>
      </c>
      <c r="S62" s="163">
        <f>B62*$S$5</f>
        <v>1819020.14831554</v>
      </c>
      <c r="T62" s="143" t="s">
        <v>243</v>
      </c>
    </row>
    <row r="63" ht="12.75" customHeight="1" spans="1:20" x14ac:dyDescent="0.25">
      <c r="A63" s="143">
        <v>2076</v>
      </c>
      <c r="B63" s="143">
        <f>B62*(1+$G$1)</f>
        <v>4.66760570057767</v>
      </c>
      <c r="C63" s="143">
        <f>C62*(1+$G$1)</f>
        <v>5.96004767212426</v>
      </c>
      <c r="D63" s="143">
        <f>D62*(1+$G$1)</f>
        <v>7.66536993209863</v>
      </c>
      <c r="E63" s="143">
        <f>E62*(1+$G$1)</f>
        <v>7.43783144974194</v>
      </c>
      <c r="F63" s="162"/>
      <c r="G63" s="163">
        <f>C63*$G$5</f>
        <v>83440.6674097397</v>
      </c>
      <c r="H63" s="163">
        <f>D63*$H$5</f>
        <v>338809.35099876</v>
      </c>
      <c r="I63" s="163">
        <f>D63*$I$5</f>
        <v>683367.729446593</v>
      </c>
      <c r="J63" s="163">
        <f>E63*$J$5</f>
        <v>1041296.40296387</v>
      </c>
      <c r="K63" s="163">
        <f>E63*$K$5</f>
        <v>1859457.86243549</v>
      </c>
      <c r="L63" s="163">
        <f>B63*$L$5</f>
        <v>2100422.56525995</v>
      </c>
      <c r="M63" s="164" t="s">
        <v>243</v>
      </c>
      <c r="N63" s="163">
        <f>C63*$N$5</f>
        <v>41720.3337048698</v>
      </c>
      <c r="O63" s="163">
        <f>D63*$O$5</f>
        <v>169404.67549938</v>
      </c>
      <c r="P63" s="163">
        <f>D63*$P$5</f>
        <v>410097.291367277</v>
      </c>
      <c r="Q63" s="163">
        <f>E63*$Q$5</f>
        <v>855350.616720323</v>
      </c>
      <c r="R63" s="163">
        <f>E63*$R$5</f>
        <v>1859457.86243549</v>
      </c>
      <c r="S63" s="163">
        <f>B63*$S$5</f>
        <v>1867042.28023107</v>
      </c>
      <c r="T63" s="143" t="s">
        <v>243</v>
      </c>
    </row>
    <row r="64" ht="12.75" customHeight="1" spans="1:20" x14ac:dyDescent="0.25">
      <c r="A64" s="143">
        <v>2077</v>
      </c>
      <c r="B64" s="143">
        <f>B63*(1+$G$1)</f>
        <v>4.79083049107292</v>
      </c>
      <c r="C64" s="143">
        <f>C63*(1+$G$1)</f>
        <v>6.11739293066834</v>
      </c>
      <c r="D64" s="143">
        <f>D63*(1+$G$1)</f>
        <v>7.86773569830604</v>
      </c>
      <c r="E64" s="143">
        <f>E63*(1+$G$1)</f>
        <v>7.63419020001513</v>
      </c>
      <c r="F64" s="162"/>
      <c r="G64" s="163">
        <f>C64*$G$5</f>
        <v>85643.5010293568</v>
      </c>
      <c r="H64" s="163">
        <f>D64*$H$5</f>
        <v>347753.917865127</v>
      </c>
      <c r="I64" s="163">
        <f>D64*$I$5</f>
        <v>701408.637503983</v>
      </c>
      <c r="J64" s="163">
        <f>E64*$J$5</f>
        <v>1068786.62800212</v>
      </c>
      <c r="K64" s="163">
        <f>E64*$K$5</f>
        <v>1908547.55000378</v>
      </c>
      <c r="L64" s="163">
        <f>B64*$L$5</f>
        <v>2155873.72098281</v>
      </c>
      <c r="M64" s="164" t="s">
        <v>243</v>
      </c>
      <c r="N64" s="163">
        <f>C64*$N$5</f>
        <v>42821.7505146784</v>
      </c>
      <c r="O64" s="163">
        <f>D64*$O$5</f>
        <v>173876.958932563</v>
      </c>
      <c r="P64" s="163">
        <f>D64*$P$5</f>
        <v>420923.859859373</v>
      </c>
      <c r="Q64" s="163">
        <f>E64*$Q$5</f>
        <v>877931.87300174</v>
      </c>
      <c r="R64" s="163">
        <f>E64*$R$5</f>
        <v>1908547.55000378</v>
      </c>
      <c r="S64" s="163">
        <f>B64*$S$5</f>
        <v>1916332.19642917</v>
      </c>
      <c r="T64" s="143" t="s">
        <v>243</v>
      </c>
    </row>
    <row r="65" ht="12.75" customHeight="1" spans="1:20" x14ac:dyDescent="0.25">
      <c r="A65" s="143">
        <v>2078</v>
      </c>
      <c r="B65" s="143">
        <f>B64*(1+$G$1)</f>
        <v>4.91730841603724</v>
      </c>
      <c r="C65" s="143">
        <f>C64*(1+$G$1)</f>
        <v>6.27889210403799</v>
      </c>
      <c r="D65" s="143">
        <f>D64*(1+$G$1)</f>
        <v>8.07544392074132</v>
      </c>
      <c r="E65" s="143">
        <f>E64*(1+$G$1)</f>
        <v>7.83573282129553</v>
      </c>
      <c r="F65" s="162"/>
      <c r="G65" s="163">
        <f>C65*$G$5</f>
        <v>87904.4894565318</v>
      </c>
      <c r="H65" s="163">
        <f>D65*$H$5</f>
        <v>356934.621296766</v>
      </c>
      <c r="I65" s="163">
        <f>D65*$I$5</f>
        <v>719925.825534088</v>
      </c>
      <c r="J65" s="163">
        <f>E65*$J$5</f>
        <v>1097002.59498137</v>
      </c>
      <c r="K65" s="163">
        <f>E65*$K$5</f>
        <v>1958933.20532388</v>
      </c>
      <c r="L65" s="163">
        <f>B65*$L$5</f>
        <v>2212788.78721676</v>
      </c>
      <c r="M65" s="164" t="s">
        <v>243</v>
      </c>
      <c r="N65" s="163">
        <f>C65*$N$5</f>
        <v>43952.2447282659</v>
      </c>
      <c r="O65" s="163">
        <f>D65*$O$5</f>
        <v>178467.310648383</v>
      </c>
      <c r="P65" s="163">
        <f>D65*$P$5</f>
        <v>432036.24975966</v>
      </c>
      <c r="Q65" s="163">
        <f>E65*$Q$5</f>
        <v>901109.274448986</v>
      </c>
      <c r="R65" s="163">
        <f>E65*$R$5</f>
        <v>1958933.20532388</v>
      </c>
      <c r="S65" s="163">
        <f>B65*$S$5</f>
        <v>1966923.3664149</v>
      </c>
      <c r="T65" s="143" t="s">
        <v>243</v>
      </c>
    </row>
    <row r="66" ht="12.75" customHeight="1" spans="1:20" x14ac:dyDescent="0.25">
      <c r="A66" s="143">
        <v>2079</v>
      </c>
      <c r="B66" s="143">
        <f>B65*(1+$G$1)</f>
        <v>5.04712535822062</v>
      </c>
      <c r="C66" s="143">
        <f>C65*(1+$G$1)</f>
        <v>6.44465485558459</v>
      </c>
      <c r="D66" s="143">
        <f>D65*(1+$G$1)</f>
        <v>8.28863564024889</v>
      </c>
      <c r="E66" s="143">
        <f>E65*(1+$G$1)</f>
        <v>8.04259616777773</v>
      </c>
      <c r="F66" s="162"/>
      <c r="G66" s="163">
        <f>C66*$G$5</f>
        <v>90225.1679781843</v>
      </c>
      <c r="H66" s="163">
        <f>D66*$H$5</f>
        <v>366357.695299001</v>
      </c>
      <c r="I66" s="163">
        <f>D66*$I$5</f>
        <v>738931.867328188</v>
      </c>
      <c r="J66" s="163">
        <f>E66*$J$5</f>
        <v>1125963.46348888</v>
      </c>
      <c r="K66" s="163">
        <f>E66*$K$5</f>
        <v>2010649.04194443</v>
      </c>
      <c r="L66" s="163">
        <f>B66*$L$5</f>
        <v>2271206.41119928</v>
      </c>
      <c r="M66" s="164" t="s">
        <v>243</v>
      </c>
      <c r="N66" s="163">
        <f>C66*$N$5</f>
        <v>45112.5839890921</v>
      </c>
      <c r="O66" s="163">
        <f>D66*$O$5</f>
        <v>183178.8476495</v>
      </c>
      <c r="P66" s="163">
        <f>D66*$P$5</f>
        <v>443442.006753315</v>
      </c>
      <c r="Q66" s="163">
        <f>E66*$Q$5</f>
        <v>924898.559294439</v>
      </c>
      <c r="R66" s="163">
        <f>E66*$R$5</f>
        <v>2010649.04194443</v>
      </c>
      <c r="S66" s="163">
        <f>B66*$S$5</f>
        <v>2018850.14328825</v>
      </c>
      <c r="T66" s="143" t="s">
        <v>243</v>
      </c>
    </row>
    <row r="67" ht="12.75" customHeight="1" spans="1:20" x14ac:dyDescent="0.25">
      <c r="A67" s="143">
        <v>2080</v>
      </c>
      <c r="B67" s="143">
        <f>B66*(1+$G$1)</f>
        <v>5.18036946767765</v>
      </c>
      <c r="C67" s="143">
        <f>C66*(1+$G$1)</f>
        <v>6.61479374377202</v>
      </c>
      <c r="D67" s="143">
        <f>D66*(1+$G$1)</f>
        <v>8.50745562115146</v>
      </c>
      <c r="E67" s="143">
        <f>E66*(1+$G$1)</f>
        <v>8.25492070660706</v>
      </c>
      <c r="F67" s="162"/>
      <c r="G67" s="163">
        <f>C67*$G$5</f>
        <v>92607.1124128083</v>
      </c>
      <c r="H67" s="163">
        <f>D67*$H$5</f>
        <v>376029.538454894</v>
      </c>
      <c r="I67" s="163">
        <f>D67*$I$5</f>
        <v>758439.668625652</v>
      </c>
      <c r="J67" s="163">
        <f>E67*$J$5</f>
        <v>1155688.89892499</v>
      </c>
      <c r="K67" s="163">
        <f>E67*$K$5</f>
        <v>2063730.17665177</v>
      </c>
      <c r="L67" s="163">
        <f>B67*$L$5</f>
        <v>2331166.26045494</v>
      </c>
      <c r="M67" s="164" t="s">
        <v>243</v>
      </c>
      <c r="N67" s="163">
        <f>C67*$N$5</f>
        <v>46303.5562064042</v>
      </c>
      <c r="O67" s="163">
        <f>D67*$O$5</f>
        <v>188014.769227447</v>
      </c>
      <c r="P67" s="163">
        <f>D67*$P$5</f>
        <v>455148.875731603</v>
      </c>
      <c r="Q67" s="163">
        <f>E67*$Q$5</f>
        <v>949315.881259812</v>
      </c>
      <c r="R67" s="163">
        <f>E67*$R$5</f>
        <v>2063730.17665177</v>
      </c>
      <c r="S67" s="163">
        <f>B67*$S$5</f>
        <v>2072147.78707106</v>
      </c>
      <c r="T67" s="143" t="s">
        <v>243</v>
      </c>
    </row>
    <row r="68" ht="12.75" customHeight="1" spans="1:20" x14ac:dyDescent="0.25">
      <c r="A68" s="143">
        <v>2081</v>
      </c>
      <c r="B68" s="143">
        <f>B67*(1+$G$1)</f>
        <v>5.31713122162434</v>
      </c>
      <c r="C68" s="143">
        <f>C67*(1+$G$1)</f>
        <v>6.78942429860761</v>
      </c>
      <c r="D68" s="143">
        <f>D67*(1+$G$1)</f>
        <v>8.73205244954986</v>
      </c>
      <c r="E68" s="143">
        <f>E67*(1+$G$1)</f>
        <v>8.47285061326149</v>
      </c>
      <c r="F68" s="162"/>
      <c r="G68" s="163">
        <f>C68*$G$5</f>
        <v>95051.9401805065</v>
      </c>
      <c r="H68" s="163">
        <f>D68*$H$5</f>
        <v>385956.718270104</v>
      </c>
      <c r="I68" s="163">
        <f>D68*$I$5</f>
        <v>778462.47587737</v>
      </c>
      <c r="J68" s="163">
        <f>E68*$J$5</f>
        <v>1186199.08585661</v>
      </c>
      <c r="K68" s="163">
        <f>E68*$K$5</f>
        <v>2118212.65331537</v>
      </c>
      <c r="L68" s="163">
        <f>B68*$L$5</f>
        <v>2392709.04973095</v>
      </c>
      <c r="M68" s="164" t="s">
        <v>243</v>
      </c>
      <c r="N68" s="163">
        <f>C68*$N$5</f>
        <v>47525.9700902532</v>
      </c>
      <c r="O68" s="163">
        <f>D68*$O$5</f>
        <v>192978.359135052</v>
      </c>
      <c r="P68" s="163">
        <f>D68*$P$5</f>
        <v>467164.806050917</v>
      </c>
      <c r="Q68" s="163">
        <f>E68*$Q$5</f>
        <v>974377.820525071</v>
      </c>
      <c r="R68" s="163">
        <f>E68*$R$5</f>
        <v>2118212.65331537</v>
      </c>
      <c r="S68" s="163">
        <f>B68*$S$5</f>
        <v>2126852.48864974</v>
      </c>
      <c r="T68" s="143" t="s">
        <v>243</v>
      </c>
    </row>
    <row r="69" ht="12.75" customHeight="1" spans="1:20" x14ac:dyDescent="0.25">
      <c r="A69" s="143">
        <v>2082</v>
      </c>
      <c r="B69" s="143">
        <f>B68*(1+$G$1)</f>
        <v>5.45750348587522</v>
      </c>
      <c r="C69" s="143">
        <f>C68*(1+$G$1)</f>
        <v>6.96866510009085</v>
      </c>
      <c r="D69" s="143">
        <f>D68*(1+$G$1)</f>
        <v>8.96257863421797</v>
      </c>
      <c r="E69" s="143">
        <f>E68*(1+$G$1)</f>
        <v>8.69653386945159</v>
      </c>
      <c r="F69" s="162"/>
      <c r="G69" s="163">
        <f>C69*$G$5</f>
        <v>97561.3114012718</v>
      </c>
      <c r="H69" s="163">
        <f>D69*$H$5</f>
        <v>396145.975632434</v>
      </c>
      <c r="I69" s="163">
        <f>D69*$I$5</f>
        <v>799013.885240532</v>
      </c>
      <c r="J69" s="163">
        <f>E69*$J$5</f>
        <v>1217514.74172322</v>
      </c>
      <c r="K69" s="163">
        <f>E69*$K$5</f>
        <v>2174133.4673629</v>
      </c>
      <c r="L69" s="163">
        <f>B69*$L$5</f>
        <v>2455876.56864385</v>
      </c>
      <c r="M69" s="164" t="s">
        <v>243</v>
      </c>
      <c r="N69" s="163">
        <f>C69*$N$5</f>
        <v>48780.6557006359</v>
      </c>
      <c r="O69" s="163">
        <f>D69*$O$5</f>
        <v>198072.987816217</v>
      </c>
      <c r="P69" s="163">
        <f>D69*$P$5</f>
        <v>479497.956930661</v>
      </c>
      <c r="Q69" s="163">
        <f>E69*$Q$5</f>
        <v>1000101.39498693</v>
      </c>
      <c r="R69" s="163">
        <f>E69*$R$5</f>
        <v>2174133.4673629</v>
      </c>
      <c r="S69" s="163">
        <f>B69*$S$5</f>
        <v>2183001.39435009</v>
      </c>
      <c r="T69" s="143" t="s">
        <v>243</v>
      </c>
    </row>
    <row r="70" ht="12.75" customHeight="1" spans="1:20" x14ac:dyDescent="0.25">
      <c r="A70" s="143">
        <v>2083</v>
      </c>
      <c r="B70" s="143">
        <f>B69*(1+$G$1)</f>
        <v>5.60158157790233</v>
      </c>
      <c r="C70" s="143">
        <f>C69*(1+$G$1)</f>
        <v>7.15263785873324</v>
      </c>
      <c r="D70" s="143">
        <f>D69*(1+$G$1)</f>
        <v>9.19919071016133</v>
      </c>
      <c r="E70" s="143">
        <f>E69*(1+$G$1)</f>
        <v>8.92612236360511</v>
      </c>
      <c r="F70" s="162"/>
      <c r="G70" s="163">
        <f>C70*$G$5</f>
        <v>100136.930022265</v>
      </c>
      <c r="H70" s="163">
        <f>D70*$H$5</f>
        <v>406604.229389131</v>
      </c>
      <c r="I70" s="163">
        <f>D70*$I$5</f>
        <v>820107.851810882</v>
      </c>
      <c r="J70" s="163">
        <f>E70*$J$5</f>
        <v>1249657.13090472</v>
      </c>
      <c r="K70" s="163">
        <f>E70*$K$5</f>
        <v>2231530.59090128</v>
      </c>
      <c r="L70" s="163">
        <f>B70*$L$5</f>
        <v>2520711.71005605</v>
      </c>
      <c r="M70" s="164" t="s">
        <v>243</v>
      </c>
      <c r="N70" s="163">
        <f>C70*$N$5</f>
        <v>50068.4650111327</v>
      </c>
      <c r="O70" s="163">
        <f>D70*$O$5</f>
        <v>203302.114694565</v>
      </c>
      <c r="P70" s="163">
        <f>D70*$P$5</f>
        <v>492156.702993631</v>
      </c>
      <c r="Q70" s="163">
        <f>E70*$Q$5</f>
        <v>1026504.07181459</v>
      </c>
      <c r="R70" s="163">
        <f>E70*$R$5</f>
        <v>2231530.59090128</v>
      </c>
      <c r="S70" s="163">
        <f>B70*$S$5</f>
        <v>2240632.63116093</v>
      </c>
      <c r="T70" s="143" t="s">
        <v>243</v>
      </c>
    </row>
    <row r="71" ht="12.75" customHeight="1" spans="1:20" x14ac:dyDescent="0.25">
      <c r="A71" s="143">
        <v>2084</v>
      </c>
      <c r="B71" s="143">
        <f>B70*(1+$G$1)</f>
        <v>5.74946333155895</v>
      </c>
      <c r="C71" s="143">
        <f>C70*(1+$G$1)</f>
        <v>7.3414674982038</v>
      </c>
      <c r="D71" s="143">
        <f>D70*(1+$G$1)</f>
        <v>9.44204934490958</v>
      </c>
      <c r="E71" s="143">
        <f>E70*(1+$G$1)</f>
        <v>9.16177199400429</v>
      </c>
      <c r="F71" s="162"/>
      <c r="G71" s="163">
        <f>C71*$G$5</f>
        <v>102780.544974853</v>
      </c>
      <c r="H71" s="163">
        <f>D71*$H$5</f>
        <v>417338.581045004</v>
      </c>
      <c r="I71" s="163">
        <f>D71*$I$5</f>
        <v>841758.69909869</v>
      </c>
      <c r="J71" s="163">
        <f>E71*$J$5</f>
        <v>1282648.0791606</v>
      </c>
      <c r="K71" s="163">
        <f>E71*$K$5</f>
        <v>2290442.99850107</v>
      </c>
      <c r="L71" s="163">
        <f>B71*$L$5</f>
        <v>2587258.49920153</v>
      </c>
      <c r="M71" s="164" t="s">
        <v>243</v>
      </c>
      <c r="N71" s="163">
        <f>C71*$N$5</f>
        <v>51390.2724874266</v>
      </c>
      <c r="O71" s="163">
        <f>D71*$O$5</f>
        <v>208669.290522502</v>
      </c>
      <c r="P71" s="163">
        <f>D71*$P$5</f>
        <v>505149.639952663</v>
      </c>
      <c r="Q71" s="163">
        <f>E71*$Q$5</f>
        <v>1053603.77931049</v>
      </c>
      <c r="R71" s="163">
        <f>E71*$R$5</f>
        <v>2290442.99850107</v>
      </c>
      <c r="S71" s="163">
        <f>B71*$S$5</f>
        <v>2299785.33262358</v>
      </c>
      <c r="T71" s="143" t="s">
        <v>243</v>
      </c>
    </row>
    <row r="72" ht="12.75" customHeight="1" spans="1:20" x14ac:dyDescent="0.25">
      <c r="A72" s="143">
        <v>2085</v>
      </c>
      <c r="B72" s="143">
        <f>B71*(1+$G$1)</f>
        <v>5.9012491635121</v>
      </c>
      <c r="C72" s="143">
        <f>C71*(1+$G$1)</f>
        <v>7.53528224015638</v>
      </c>
      <c r="D72" s="143">
        <f>D71*(1+$G$1)</f>
        <v>9.6913194476152</v>
      </c>
      <c r="E72" s="143">
        <f>E71*(1+$G$1)</f>
        <v>9.403642774646</v>
      </c>
      <c r="F72" s="162"/>
      <c r="G72" s="163">
        <f>C72*$G$5</f>
        <v>105493.951362189</v>
      </c>
      <c r="H72" s="163">
        <f>D72*$H$5</f>
        <v>428356.319584592</v>
      </c>
      <c r="I72" s="163">
        <f>D72*$I$5</f>
        <v>863981.128754895</v>
      </c>
      <c r="J72" s="163">
        <f>E72*$J$5</f>
        <v>1316509.98845044</v>
      </c>
      <c r="K72" s="163">
        <f>E72*$K$5</f>
        <v>2350910.6936615</v>
      </c>
      <c r="L72" s="163">
        <f>B72*$L$5</f>
        <v>2655562.12358045</v>
      </c>
      <c r="M72" s="164" t="s">
        <v>243</v>
      </c>
      <c r="N72" s="163">
        <f>C72*$N$5</f>
        <v>52746.9756810947</v>
      </c>
      <c r="O72" s="163">
        <f>D72*$O$5</f>
        <v>214178.159792296</v>
      </c>
      <c r="P72" s="163">
        <f>D72*$P$5</f>
        <v>518485.590447413</v>
      </c>
      <c r="Q72" s="163">
        <f>E72*$Q$5</f>
        <v>1081418.91908429</v>
      </c>
      <c r="R72" s="163">
        <f>E72*$R$5</f>
        <v>2350910.6936615</v>
      </c>
      <c r="S72" s="163">
        <f>B72*$S$5</f>
        <v>2360499.66540484</v>
      </c>
      <c r="T72" s="143" t="s">
        <v>243</v>
      </c>
    </row>
    <row r="73" ht="12.75" customHeight="1" spans="1:20" x14ac:dyDescent="0.25">
      <c r="A73" s="143">
        <v>2086</v>
      </c>
      <c r="B73" s="143">
        <f>B72*(1+$G$1)</f>
        <v>6.05704214142882</v>
      </c>
      <c r="C73" s="143">
        <f>C72*(1+$G$1)</f>
        <v>7.73421369129651</v>
      </c>
      <c r="D73" s="143">
        <f>D72*(1+$G$1)</f>
        <v>9.94717028103224</v>
      </c>
      <c r="E73" s="143">
        <f>E72*(1+$G$1)</f>
        <v>9.65189894389666</v>
      </c>
      <c r="F73" s="162"/>
      <c r="G73" s="163">
        <f>C73*$G$5</f>
        <v>108278.991678151</v>
      </c>
      <c r="H73" s="163">
        <f>D73*$H$5</f>
        <v>439664.926421625</v>
      </c>
      <c r="I73" s="163">
        <f>D73*$I$5</f>
        <v>886790.230554024</v>
      </c>
      <c r="J73" s="163">
        <f>E73*$J$5</f>
        <v>1351265.85214553</v>
      </c>
      <c r="K73" s="163">
        <f>E73*$K$5</f>
        <v>2412974.73597416</v>
      </c>
      <c r="L73" s="163">
        <f>B73*$L$5</f>
        <v>2725668.96364297</v>
      </c>
      <c r="M73" s="164" t="s">
        <v>243</v>
      </c>
      <c r="N73" s="163">
        <f>C73*$N$5</f>
        <v>54139.4958390756</v>
      </c>
      <c r="O73" s="163">
        <f>D73*$O$5</f>
        <v>219832.463210812</v>
      </c>
      <c r="P73" s="163">
        <f>D73*$P$5</f>
        <v>532173.610035225</v>
      </c>
      <c r="Q73" s="163">
        <f>E73*$Q$5</f>
        <v>1109968.37854812</v>
      </c>
      <c r="R73" s="163">
        <f>E73*$R$5</f>
        <v>2412974.73597416</v>
      </c>
      <c r="S73" s="163">
        <f>B73*$S$5</f>
        <v>2422816.85657153</v>
      </c>
      <c r="T73" s="143" t="s">
        <v>243</v>
      </c>
    </row>
    <row r="74" ht="12.75" customHeight="1" spans="1:20" x14ac:dyDescent="0.25">
      <c r="A74" s="143">
        <v>2087</v>
      </c>
      <c r="B74" s="143">
        <f>B73*(1+$G$1)</f>
        <v>6.21694805396254</v>
      </c>
      <c r="C74" s="143">
        <f>C73*(1+$G$1)</f>
        <v>7.93839693274674</v>
      </c>
      <c r="D74" s="143">
        <f>D73*(1+$G$1)</f>
        <v>10.2097755764515</v>
      </c>
      <c r="E74" s="143">
        <f>E73*(1+$G$1)</f>
        <v>9.90670907601553</v>
      </c>
      <c r="F74" s="162"/>
      <c r="G74" s="163">
        <f>C74*$G$5</f>
        <v>111137.557058454</v>
      </c>
      <c r="H74" s="163">
        <f>D74*$H$5</f>
        <v>451272.080479156</v>
      </c>
      <c r="I74" s="163">
        <f>D74*$I$5</f>
        <v>910201.49264065</v>
      </c>
      <c r="J74" s="163">
        <f>E74*$J$5</f>
        <v>1386939.27064217</v>
      </c>
      <c r="K74" s="163">
        <f>E74*$K$5</f>
        <v>2476677.26900388</v>
      </c>
      <c r="L74" s="163">
        <f>B74*$L$5</f>
        <v>2797626.62428314</v>
      </c>
      <c r="M74" s="164" t="s">
        <v>243</v>
      </c>
      <c r="N74" s="163">
        <f>C74*$N$5</f>
        <v>55568.7785292272</v>
      </c>
      <c r="O74" s="163">
        <f>D74*$O$5</f>
        <v>225636.040239578</v>
      </c>
      <c r="P74" s="163">
        <f>D74*$P$5</f>
        <v>546222.993340155</v>
      </c>
      <c r="Q74" s="163">
        <f>E74*$Q$5</f>
        <v>1139271.54374179</v>
      </c>
      <c r="R74" s="163">
        <f>E74*$R$5</f>
        <v>2476677.26900388</v>
      </c>
      <c r="S74" s="163">
        <f>B74*$S$5</f>
        <v>2486779.22158502</v>
      </c>
      <c r="T74" s="143" t="s">
        <v>243</v>
      </c>
    </row>
    <row r="75" ht="12.75" customHeight="1" spans="1:7" x14ac:dyDescent="0.25">
      <c r="A75" s="143">
        <v>2088</v>
      </c>
      <c r="B75" s="143">
        <f>B74*(1+$G$1)</f>
        <v>6.38107548258716</v>
      </c>
      <c r="C75" s="143">
        <f>C74*(1+$G$1)</f>
        <v>8.14797061177125</v>
      </c>
      <c r="D75" s="143">
        <f>D74*(1+$G$1)</f>
        <v>10.4793136516698</v>
      </c>
      <c r="E75" s="143">
        <f>E74*(1+$G$1)</f>
        <v>10.1682461956223</v>
      </c>
      <c r="F75" s="162"/>
      <c r="G75" s="164"/>
    </row>
    <row r="76" ht="12.75" customHeight="1" spans="1:7" x14ac:dyDescent="0.25">
      <c r="A76" s="143">
        <v>2089</v>
      </c>
      <c r="B76" s="143">
        <f>B75*(1+$G$1)</f>
        <v>6.54953587532746</v>
      </c>
      <c r="C76" s="143">
        <f>C75*(1+$G$1)</f>
        <v>8.36307703592201</v>
      </c>
      <c r="D76" s="143">
        <f>D75*(1+$G$1)</f>
        <v>10.7559675320739</v>
      </c>
      <c r="E76" s="143">
        <f>E75*(1+$G$1)</f>
        <v>10.4366878951868</v>
      </c>
      <c r="F76" s="162"/>
      <c r="G76" s="164"/>
    </row>
    <row r="77" ht="12.75" customHeight="1" spans="1:7" x14ac:dyDescent="0.25">
      <c r="A77" s="143">
        <v>2090</v>
      </c>
      <c r="B77" s="143">
        <f>B76*(1+$G$1)</f>
        <v>6.7224436224361</v>
      </c>
      <c r="C77" s="143">
        <f>C76*(1+$G$1)</f>
        <v>8.58386226967035</v>
      </c>
      <c r="D77" s="143">
        <f>D76*(1+$G$1)</f>
        <v>11.0399250749206</v>
      </c>
      <c r="E77" s="143">
        <f>E76*(1+$G$1)</f>
        <v>10.7122164556197</v>
      </c>
      <c r="F77" s="162"/>
      <c r="G77" s="164"/>
    </row>
    <row r="78" ht="12.75" customHeight="1" spans="1:7" x14ac:dyDescent="0.25">
      <c r="A78" s="143">
        <v>2091</v>
      </c>
      <c r="B78" s="143">
        <f>B77*(1+$G$1)</f>
        <v>6.89991613406841</v>
      </c>
      <c r="C78" s="143">
        <f>C77*(1+$G$1)</f>
        <v>8.81047623358965</v>
      </c>
      <c r="D78" s="143">
        <f>D77*(1+$G$1)</f>
        <v>11.3313790968985</v>
      </c>
      <c r="E78" s="143">
        <f>E77*(1+$G$1)</f>
        <v>10.9950189700481</v>
      </c>
      <c r="F78" s="162"/>
      <c r="G78" s="164"/>
    </row>
    <row r="79" ht="12.75" customHeight="1" spans="1:7" x14ac:dyDescent="0.25">
      <c r="A79" s="143">
        <v>2092</v>
      </c>
      <c r="B79" s="143">
        <f>B78*(1+$G$1)</f>
        <v>7.08207392000782</v>
      </c>
      <c r="C79" s="143">
        <f>C78*(1+$G$1)</f>
        <v>9.04307280615642</v>
      </c>
      <c r="D79" s="143">
        <f>D78*(1+$G$1)</f>
        <v>11.6305275050567</v>
      </c>
      <c r="E79" s="143">
        <f>E78*(1+$G$1)</f>
        <v>11.2852874708573</v>
      </c>
      <c r="F79" s="162"/>
      <c r="G79" s="164"/>
    </row>
    <row r="80" ht="12.75" customHeight="1" spans="1:7" x14ac:dyDescent="0.25">
      <c r="A80" s="143">
        <v>2093</v>
      </c>
      <c r="B80" s="143">
        <f>B79*(1+$G$1)</f>
        <v>7.26904067149603</v>
      </c>
      <c r="C80" s="143">
        <f>C79*(1+$G$1)</f>
        <v>9.28180992823894</v>
      </c>
      <c r="D80" s="143">
        <f>D79*(1+$G$1)</f>
        <v>11.9375734311902</v>
      </c>
      <c r="E80" s="143">
        <f>E79*(1+$G$1)</f>
        <v>11.583219060088</v>
      </c>
      <c r="F80" s="162"/>
      <c r="G80" s="164"/>
    </row>
    <row r="81" ht="12.75" customHeight="1" spans="1:7" x14ac:dyDescent="0.25">
      <c r="A81" s="143">
        <v>2094</v>
      </c>
      <c r="B81" s="143">
        <f>B80*(1+$G$1)</f>
        <v>7.46094334522352</v>
      </c>
      <c r="C81" s="143">
        <f>C80*(1+$G$1)</f>
        <v>9.52684971034445</v>
      </c>
      <c r="D81" s="143">
        <f>D80*(1+$G$1)</f>
        <v>12.2527253697736</v>
      </c>
      <c r="E81" s="143">
        <f>E80*(1+$G$1)</f>
        <v>11.8890160432743</v>
      </c>
      <c r="F81" s="162"/>
      <c r="G81" s="164"/>
    </row>
    <row r="82" ht="12.75" customHeight="1" spans="1:7" x14ac:dyDescent="0.25">
      <c r="A82" s="143">
        <v>2095</v>
      </c>
      <c r="B82" s="143">
        <f>B81*(1+$G$1)</f>
        <v>7.65791224953742</v>
      </c>
      <c r="C82" s="143">
        <f>C81*(1+$G$1)</f>
        <v>9.77835854269755</v>
      </c>
      <c r="D82" s="143">
        <f>D81*(1+$G$1)</f>
        <v>12.5761973195356</v>
      </c>
      <c r="E82" s="143">
        <f>E81*(1+$G$1)</f>
        <v>12.2028860668167</v>
      </c>
      <c r="F82" s="162"/>
      <c r="G82" s="164"/>
    </row>
    <row r="83" ht="12.75" customHeight="1" spans="1:7" x14ac:dyDescent="0.25">
      <c r="A83" s="143">
        <v>2096</v>
      </c>
      <c r="B83" s="143">
        <f>B82*(1+$G$1)</f>
        <v>7.86008113292521</v>
      </c>
      <c r="C83" s="143">
        <f>C82*(1+$G$1)</f>
        <v>10.0365072082248</v>
      </c>
      <c r="D83" s="143">
        <f>D82*(1+$G$1)</f>
        <v>12.9082089287713</v>
      </c>
      <c r="E83" s="143">
        <f>E82*(1+$G$1)</f>
        <v>12.5250422589807</v>
      </c>
      <c r="F83" s="162"/>
      <c r="G83" s="164"/>
    </row>
    <row r="84" ht="12.75" customHeight="1" spans="1:7" x14ac:dyDescent="0.25">
      <c r="A84" s="143">
        <v>2097</v>
      </c>
      <c r="B84" s="143">
        <f>B83*(1+$G$1)</f>
        <v>8.06758727483444</v>
      </c>
      <c r="C84" s="143">
        <f>C83*(1+$G$1)</f>
        <v>10.3014709985219</v>
      </c>
      <c r="D84" s="143">
        <f>D83*(1+$G$1)</f>
        <v>13.2489856444909</v>
      </c>
      <c r="E84" s="143">
        <f>E83*(1+$G$1)</f>
        <v>12.8557033746178</v>
      </c>
      <c r="F84" s="162"/>
      <c r="G84" s="164"/>
    </row>
    <row r="85" ht="12.75" customHeight="1" spans="1:7" x14ac:dyDescent="0.25">
      <c r="A85" s="143">
        <v>2098</v>
      </c>
      <c r="B85" s="143">
        <f>B84*(1+$G$1)</f>
        <v>8.28057157889007</v>
      </c>
      <c r="C85" s="143">
        <f>C84*(1+$G$1)</f>
        <v>10.5734298328829</v>
      </c>
      <c r="D85" s="143">
        <f>D84*(1+$G$1)</f>
        <v>13.5987588655055</v>
      </c>
      <c r="E85" s="143">
        <f>E84*(1+$G$1)</f>
        <v>13.1950939437077</v>
      </c>
      <c r="F85" s="162"/>
      <c r="G85" s="164"/>
    </row>
    <row r="86" ht="12.75" customHeight="1" spans="1:7" x14ac:dyDescent="0.25">
      <c r="A86" s="143">
        <v>2099</v>
      </c>
      <c r="B86" s="143">
        <f>B85*(1+$G$1)</f>
        <v>8.49917866857276</v>
      </c>
      <c r="C86" s="143">
        <f>C85*(1+$G$1)</f>
        <v>10.852568380471</v>
      </c>
      <c r="D86" s="143">
        <f>D85*(1+$G$1)</f>
        <v>13.9577660995548</v>
      </c>
      <c r="E86" s="143">
        <f>E85*(1+$G$1)</f>
        <v>13.5434444238216</v>
      </c>
      <c r="F86" s="162"/>
      <c r="G86" s="164"/>
    </row>
    <row r="87" ht="12.75" customHeight="1" spans="1:7" x14ac:dyDescent="0.25">
      <c r="A87" s="143">
        <v>2100</v>
      </c>
      <c r="B87" s="143">
        <f>B86*(1+$G$1)</f>
        <v>8.72355698542308</v>
      </c>
      <c r="C87" s="143">
        <f>C86*(1+$G$1)</f>
        <v>11.1390761857154</v>
      </c>
      <c r="D87" s="143">
        <f>D86*(1+$G$1)</f>
        <v>14.3262511245831</v>
      </c>
      <c r="E87" s="143">
        <f>E86*(1+$G$1)</f>
        <v>13.9009913566105</v>
      </c>
      <c r="F87" s="162"/>
      <c r="G87" s="164"/>
    </row>
    <row r="88" ht="12.75" customHeight="1" spans="6:7" x14ac:dyDescent="0.25">
      <c r="F88" s="162"/>
      <c r="G88" s="164"/>
    </row>
    <row r="89" ht="12.75" customHeight="1" spans="6:7" x14ac:dyDescent="0.25">
      <c r="F89" s="162"/>
      <c r="G89" s="164"/>
    </row>
    <row r="90" ht="12.75" customHeight="1" spans="6:7" x14ac:dyDescent="0.25">
      <c r="F90" s="162"/>
      <c r="G90" s="164"/>
    </row>
    <row r="91" ht="12.75" customHeight="1" spans="6:7" x14ac:dyDescent="0.25">
      <c r="F91" s="162"/>
      <c r="G91" s="164"/>
    </row>
    <row r="92" ht="12.75" customHeight="1" spans="6:7" x14ac:dyDescent="0.25">
      <c r="F92" s="162"/>
      <c r="G92" s="164"/>
    </row>
    <row r="93" ht="12.75" customHeight="1" spans="6:7" x14ac:dyDescent="0.25">
      <c r="F93" s="162"/>
      <c r="G93" s="164"/>
    </row>
    <row r="94" ht="12.75" customHeight="1" spans="6:7" x14ac:dyDescent="0.25">
      <c r="F94" s="162"/>
      <c r="G94" s="164"/>
    </row>
    <row r="95" ht="12.75" customHeight="1" spans="6:7" x14ac:dyDescent="0.25">
      <c r="F95" s="162"/>
      <c r="G95" s="164"/>
    </row>
    <row r="96" ht="12.75" customHeight="1" spans="6:7" x14ac:dyDescent="0.25">
      <c r="F96" s="162"/>
      <c r="G96" s="164"/>
    </row>
    <row r="97" ht="12.75" customHeight="1" spans="6:7" x14ac:dyDescent="0.25">
      <c r="F97" s="162"/>
      <c r="G97" s="164"/>
    </row>
    <row r="98" ht="12.75" customHeight="1" spans="6:7" x14ac:dyDescent="0.25">
      <c r="F98" s="162"/>
      <c r="G98" s="164"/>
    </row>
    <row r="99" ht="12.75" customHeight="1" spans="6:7" x14ac:dyDescent="0.25">
      <c r="F99" s="162"/>
      <c r="G99" s="164"/>
    </row>
    <row r="100" ht="12.75" customHeight="1" spans="6:7" x14ac:dyDescent="0.25">
      <c r="F100" s="162"/>
      <c r="G100" s="164"/>
    </row>
    <row r="101" ht="12.75" customHeight="1" spans="6:7" x14ac:dyDescent="0.25">
      <c r="F101" s="162"/>
      <c r="G101" s="164"/>
    </row>
    <row r="102" ht="12.75" customHeight="1" spans="6:7" x14ac:dyDescent="0.25">
      <c r="F102" s="162"/>
      <c r="G102" s="164"/>
    </row>
    <row r="103" ht="12.75" customHeight="1" spans="6:7" x14ac:dyDescent="0.25">
      <c r="F103" s="162"/>
      <c r="G103" s="164"/>
    </row>
    <row r="104" ht="12.75" customHeight="1" spans="6:7" x14ac:dyDescent="0.25">
      <c r="F104" s="162"/>
      <c r="G104" s="164"/>
    </row>
    <row r="105" ht="12.75" customHeight="1" spans="6:7" x14ac:dyDescent="0.25">
      <c r="F105" s="162"/>
      <c r="G105" s="164"/>
    </row>
    <row r="106" ht="12.75" customHeight="1" spans="6:6" x14ac:dyDescent="0.25">
      <c r="F106" s="162"/>
    </row>
    <row r="107" ht="12.75" customHeight="1" spans="6:6" x14ac:dyDescent="0.25">
      <c r="F107" s="162"/>
    </row>
    <row r="108" ht="12.75" customHeight="1" spans="6:6" x14ac:dyDescent="0.25">
      <c r="F108" s="162"/>
    </row>
    <row r="109" ht="12.75" customHeight="1" spans="6:6" x14ac:dyDescent="0.25">
      <c r="F109" s="162"/>
    </row>
  </sheetData>
  <mergeCells count="2">
    <mergeCell ref="H2:K2"/>
    <mergeCell ref="O2:R2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 zoomScale="90" zoomScaleNormal="90" view="normal">
      <pane xSplit="1" topLeftCell="B19" activePane="topRight" state="frozen"/>
      <selection pane="topRight" activeCell="Q19" sqref="Q19"/>
    </sheetView>
  </sheetViews>
  <sheetFormatPr defaultRowHeight="12.75" outlineLevelRow="0" outlineLevelCol="0" x14ac:dyDescent="0" defaultColWidth="9.1640625" customHeight="1"/>
  <cols>
    <col min="1" max="1" width="92.83" style="16" customWidth="1"/>
    <col min="2" max="2" width="15.66" style="16" customWidth="1"/>
    <col min="3" max="3" width="15" style="16" customWidth="1"/>
    <col min="4" max="5" width="12.67" style="16" customWidth="1"/>
    <col min="6" max="12" width="10.66" style="16" customWidth="1"/>
    <col min="13" max="13" width="12.5" style="16" customWidth="1"/>
    <col min="14" max="35" width="10.66" style="16" customWidth="1"/>
    <col min="36" max="16384" width="9.16" style="16" customWidth="1"/>
  </cols>
  <sheetData>
    <row r="1" ht="18" customHeight="1" spans="1:3" x14ac:dyDescent="0.25">
      <c r="A1" s="14" t="s">
        <v>267</v>
      </c>
      <c r="B1" s="14"/>
      <c r="C1" s="14"/>
    </row>
    <row r="2" ht="12.75" customHeight="1" spans="1:1" x14ac:dyDescent="0.25">
      <c r="A2" s="16" t="s">
        <v>176</v>
      </c>
    </row>
    <row r="4" ht="15" customHeight="1" spans="1:15" x14ac:dyDescent="0.25">
      <c r="A4" s="21" t="s">
        <v>146</v>
      </c>
      <c r="B4" s="91"/>
      <c r="C4" s="91"/>
      <c r="D4" s="135"/>
      <c r="E4" s="135"/>
      <c r="F4" s="135"/>
      <c r="G4" s="135"/>
      <c r="H4" s="90"/>
      <c r="I4" s="90"/>
      <c r="J4" s="89"/>
      <c r="K4" s="89"/>
      <c r="L4" s="89"/>
      <c r="M4" s="89"/>
      <c r="N4" s="89"/>
      <c r="O4" s="89"/>
    </row>
    <row r="5" ht="15" customHeight="1" spans="1:15" x14ac:dyDescent="0.25">
      <c r="A5" s="91" t="s">
        <v>268</v>
      </c>
      <c r="B5" s="91"/>
      <c r="C5" s="91"/>
      <c r="D5" s="135"/>
      <c r="E5" s="135"/>
      <c r="F5" s="135"/>
      <c r="G5" s="135"/>
      <c r="H5" s="90"/>
      <c r="I5" s="90"/>
      <c r="J5" s="89"/>
      <c r="K5" s="89"/>
      <c r="L5" s="89"/>
      <c r="M5" s="89"/>
      <c r="N5" s="89"/>
      <c r="O5" s="89"/>
    </row>
    <row r="6" ht="15.75" customHeight="1" spans="1:17" x14ac:dyDescent="0.25">
      <c r="A6" s="91"/>
      <c r="B6" s="91"/>
      <c r="C6" s="71" t="s">
        <v>27</v>
      </c>
      <c r="D6" s="22"/>
      <c r="E6" s="135"/>
      <c r="F6" s="71" t="s">
        <v>36</v>
      </c>
      <c r="G6" s="22"/>
      <c r="H6" s="135"/>
      <c r="I6" s="71" t="s">
        <v>37</v>
      </c>
      <c r="K6" s="135"/>
      <c r="L6" s="71" t="s">
        <v>38</v>
      </c>
      <c r="N6" s="135"/>
      <c r="O6" s="71" t="s">
        <v>39</v>
      </c>
      <c r="Q6" s="135"/>
    </row>
    <row r="7" ht="30" customHeight="1" spans="1:17" x14ac:dyDescent="0.25">
      <c r="A7" s="40" t="s">
        <v>6</v>
      </c>
      <c r="B7" s="24" t="s">
        <v>269</v>
      </c>
      <c r="C7" s="136" t="s">
        <v>270</v>
      </c>
      <c r="D7" s="137" t="s">
        <v>251</v>
      </c>
      <c r="E7" s="137" t="s">
        <v>271</v>
      </c>
      <c r="F7" s="136" t="s">
        <v>270</v>
      </c>
      <c r="G7" s="137" t="s">
        <v>251</v>
      </c>
      <c r="H7" s="137" t="s">
        <v>271</v>
      </c>
      <c r="I7" s="136" t="s">
        <v>270</v>
      </c>
      <c r="J7" s="137" t="s">
        <v>251</v>
      </c>
      <c r="K7" s="137" t="s">
        <v>271</v>
      </c>
      <c r="L7" s="136" t="s">
        <v>270</v>
      </c>
      <c r="M7" s="137" t="s">
        <v>251</v>
      </c>
      <c r="N7" s="137" t="s">
        <v>271</v>
      </c>
      <c r="O7" s="136" t="s">
        <v>270</v>
      </c>
      <c r="P7" s="137" t="s">
        <v>251</v>
      </c>
      <c r="Q7" s="165" t="s">
        <v>271</v>
      </c>
    </row>
    <row r="8" ht="13.5" customHeight="1" spans="1:17" x14ac:dyDescent="0.25">
      <c r="A8" s="27">
        <f>A9+1</f>
        <v>2022</v>
      </c>
      <c r="B8" s="77">
        <f>'CPI-U &amp; C-CPI-U Calcs'!$F14</f>
        <v>1.07862078402933</v>
      </c>
      <c r="C8" s="41">
        <f>C$12*$B8</f>
        <v>83269.5245270644</v>
      </c>
      <c r="D8" s="42">
        <f>D$12*$B8</f>
        <v>516659.35555005</v>
      </c>
      <c r="E8" s="166" t="s">
        <v>243</v>
      </c>
      <c r="F8" s="41">
        <f>F$12*$B8</f>
        <v>41634.7622635322</v>
      </c>
      <c r="G8" s="42">
        <f>G$12*$B8</f>
        <v>459276.729839689</v>
      </c>
      <c r="H8" s="166" t="s">
        <v>243</v>
      </c>
      <c r="I8" s="41">
        <f>I$12*$B8</f>
        <v>55764.6945343164</v>
      </c>
      <c r="J8" s="42">
        <f>J$12*$B8</f>
        <v>487968.04269487</v>
      </c>
      <c r="K8" s="166" t="s">
        <v>243</v>
      </c>
      <c r="L8" s="41">
        <f>L$12*$B8</f>
        <v>41634.7622635322</v>
      </c>
      <c r="M8" s="42">
        <f>M$12*$B8</f>
        <v>258329.677775025</v>
      </c>
      <c r="N8" s="166" t="s">
        <v>243</v>
      </c>
      <c r="O8" s="41">
        <f>O$12*$B8</f>
        <v>2804.41403847626</v>
      </c>
      <c r="P8" s="42">
        <f>P$12*$B8</f>
        <v>13698.4839571725</v>
      </c>
      <c r="Q8" s="166" t="s">
        <v>243</v>
      </c>
    </row>
    <row r="9" ht="12.75" customHeight="1" spans="1:17" x14ac:dyDescent="0.25">
      <c r="A9" s="18">
        <f>A10+1</f>
        <v>2021</v>
      </c>
      <c r="B9" s="79">
        <f>'CPI-U &amp; C-CPI-U Calcs'!$F15</f>
        <v>1.04720464468867</v>
      </c>
      <c r="C9" s="44">
        <f>C$12*$B9</f>
        <v>80844.1985699654</v>
      </c>
      <c r="D9" s="45">
        <f>D$12*$B9</f>
        <v>501611.024805873</v>
      </c>
      <c r="E9" s="167" t="s">
        <v>243</v>
      </c>
      <c r="F9" s="44">
        <f>F$12*$B9</f>
        <v>40422.0992849827</v>
      </c>
      <c r="G9" s="45">
        <f>G$12*$B9</f>
        <v>445899.737708436</v>
      </c>
      <c r="H9" s="167" t="s">
        <v>243</v>
      </c>
      <c r="I9" s="44">
        <f>I$12*$B9</f>
        <v>54140.4801304043</v>
      </c>
      <c r="J9" s="45">
        <f>J$12*$B9</f>
        <v>473755.381257155</v>
      </c>
      <c r="K9" s="167" t="s">
        <v>243</v>
      </c>
      <c r="L9" s="44">
        <f>L$12*$B9</f>
        <v>40422.0992849827</v>
      </c>
      <c r="M9" s="45">
        <f>M$12*$B9</f>
        <v>250805.512402937</v>
      </c>
      <c r="N9" s="167" t="s">
        <v>243</v>
      </c>
      <c r="O9" s="44">
        <f>O$12*$B9</f>
        <v>2722.73207619055</v>
      </c>
      <c r="P9" s="45">
        <f>P$12*$B9</f>
        <v>13299.4989875461</v>
      </c>
      <c r="Q9" s="167" t="s">
        <v>243</v>
      </c>
    </row>
    <row r="10" ht="12.75" customHeight="1" spans="1:17" x14ac:dyDescent="0.25">
      <c r="A10" s="18">
        <f>A11+1</f>
        <v>2020</v>
      </c>
      <c r="B10" s="79">
        <f>'CPI-U &amp; C-CPI-U Calcs'!$F16</f>
        <v>1.03574965894863</v>
      </c>
      <c r="C10" s="44">
        <f>C$12*$B10</f>
        <v>79959.873670834</v>
      </c>
      <c r="D10" s="45">
        <f>D$12*$B10</f>
        <v>496124.086636392</v>
      </c>
      <c r="E10" s="167" t="s">
        <v>243</v>
      </c>
      <c r="F10" s="44">
        <f>F$12*$B10</f>
        <v>39979.936835417</v>
      </c>
      <c r="G10" s="45">
        <f>G$12*$B10</f>
        <v>441022.204780325</v>
      </c>
      <c r="H10" s="167" t="s">
        <v>243</v>
      </c>
      <c r="I10" s="44">
        <f>I$12*$B10</f>
        <v>53548.257367644</v>
      </c>
      <c r="J10" s="45">
        <f>J$12*$B10</f>
        <v>468573.145708359</v>
      </c>
      <c r="K10" s="167" t="s">
        <v>243</v>
      </c>
      <c r="L10" s="44">
        <f>L$12*$B10</f>
        <v>39979.936835417</v>
      </c>
      <c r="M10" s="45">
        <f>M$12*$B10</f>
        <v>248062.043318196</v>
      </c>
      <c r="N10" s="167" t="s">
        <v>243</v>
      </c>
      <c r="O10" s="44">
        <f>O$12*$B10</f>
        <v>2692.94911326643</v>
      </c>
      <c r="P10" s="45">
        <f>P$12*$B10</f>
        <v>13154.0206686476</v>
      </c>
      <c r="Q10" s="167" t="s">
        <v>243</v>
      </c>
    </row>
    <row r="11" ht="12.75" customHeight="1" spans="1:17" x14ac:dyDescent="0.25">
      <c r="A11" s="18">
        <f>A12+1</f>
        <v>2019</v>
      </c>
      <c r="B11" s="79">
        <f>'CPI-U &amp; C-CPI-U Calcs'!$F17</f>
        <v>1.01993078299849</v>
      </c>
      <c r="C11" s="44">
        <f>C$12*$B11</f>
        <v>78738.6564474835</v>
      </c>
      <c r="D11" s="45">
        <f>D$12*$B11</f>
        <v>488546.845056277</v>
      </c>
      <c r="E11" s="167" t="s">
        <v>243</v>
      </c>
      <c r="F11" s="44">
        <f>F$12*$B11</f>
        <v>39369.3282237418</v>
      </c>
      <c r="G11" s="45">
        <f>G$12*$B11</f>
        <v>434286.527400758</v>
      </c>
      <c r="H11" s="167" t="s">
        <v>243</v>
      </c>
      <c r="I11" s="44">
        <f>I$12*$B11</f>
        <v>52730.421481022</v>
      </c>
      <c r="J11" s="45">
        <f>J$12*$B11</f>
        <v>461416.686228517</v>
      </c>
      <c r="K11" s="167" t="s">
        <v>243</v>
      </c>
      <c r="L11" s="44">
        <f>L$12*$B11</f>
        <v>39369.3282237418</v>
      </c>
      <c r="M11" s="45">
        <f>M$12*$B11</f>
        <v>244273.422528139</v>
      </c>
      <c r="N11" s="167" t="s">
        <v>243</v>
      </c>
      <c r="O11" s="44">
        <f>O$12*$B11</f>
        <v>2651.82003579608</v>
      </c>
      <c r="P11" s="45">
        <f>P$12*$B11</f>
        <v>12953.1209440808</v>
      </c>
      <c r="Q11" s="167" t="s">
        <v>243</v>
      </c>
    </row>
    <row r="12" ht="12.75" customHeight="1" spans="1:17" x14ac:dyDescent="0.25">
      <c r="A12" s="18">
        <v>2018</v>
      </c>
      <c r="B12" s="86">
        <f>'CPI-U &amp; C-CPI-U Calcs'!$F18</f>
        <v>1</v>
      </c>
      <c r="C12" s="87">
        <v>77200</v>
      </c>
      <c r="D12" s="88">
        <v>479000</v>
      </c>
      <c r="E12" s="168" t="s">
        <v>243</v>
      </c>
      <c r="F12" s="87">
        <v>38600</v>
      </c>
      <c r="G12" s="88">
        <v>425800</v>
      </c>
      <c r="H12" s="168" t="s">
        <v>243</v>
      </c>
      <c r="I12" s="87">
        <v>51700</v>
      </c>
      <c r="J12" s="88">
        <v>452400</v>
      </c>
      <c r="K12" s="168" t="s">
        <v>243</v>
      </c>
      <c r="L12" s="87">
        <v>38600</v>
      </c>
      <c r="M12" s="88">
        <v>239500</v>
      </c>
      <c r="N12" s="168" t="s">
        <v>243</v>
      </c>
      <c r="O12" s="87">
        <v>2600</v>
      </c>
      <c r="P12" s="88">
        <v>12700</v>
      </c>
      <c r="Q12" s="168" t="s">
        <v>243</v>
      </c>
    </row>
    <row r="15" ht="15" customHeight="1" spans="1:1" x14ac:dyDescent="0.25">
      <c r="A15" s="91" t="s">
        <v>272</v>
      </c>
    </row>
    <row r="16" ht="15" customHeight="1" spans="1:1" x14ac:dyDescent="0.25">
      <c r="A16" s="91" t="s">
        <v>273</v>
      </c>
    </row>
    <row r="17" ht="15" customHeight="1" spans="3:17" x14ac:dyDescent="0.25">
      <c r="C17" s="71" t="s">
        <v>27</v>
      </c>
      <c r="D17" s="22"/>
      <c r="E17" s="135"/>
      <c r="F17" s="71" t="s">
        <v>36</v>
      </c>
      <c r="G17" s="22"/>
      <c r="H17" s="135"/>
      <c r="I17" s="71" t="s">
        <v>37</v>
      </c>
      <c r="K17" s="135"/>
      <c r="L17" s="71" t="s">
        <v>38</v>
      </c>
      <c r="N17" s="135"/>
      <c r="O17" s="71" t="s">
        <v>39</v>
      </c>
      <c r="Q17" s="135"/>
    </row>
    <row r="18" ht="30" customHeight="1" spans="1:17" x14ac:dyDescent="0.25">
      <c r="A18" s="40" t="s">
        <v>6</v>
      </c>
      <c r="B18" s="169"/>
      <c r="C18" s="136" t="s">
        <v>270</v>
      </c>
      <c r="D18" s="137" t="s">
        <v>251</v>
      </c>
      <c r="E18" s="137" t="s">
        <v>271</v>
      </c>
      <c r="F18" s="136" t="s">
        <v>270</v>
      </c>
      <c r="G18" s="137" t="s">
        <v>251</v>
      </c>
      <c r="H18" s="137" t="s">
        <v>271</v>
      </c>
      <c r="I18" s="136" t="s">
        <v>270</v>
      </c>
      <c r="J18" s="137" t="s">
        <v>251</v>
      </c>
      <c r="K18" s="137" t="s">
        <v>271</v>
      </c>
      <c r="L18" s="136" t="s">
        <v>236</v>
      </c>
      <c r="M18" s="137" t="s">
        <v>251</v>
      </c>
      <c r="N18" s="137" t="s">
        <v>271</v>
      </c>
      <c r="O18" s="136" t="s">
        <v>236</v>
      </c>
      <c r="P18" s="137" t="s">
        <v>251</v>
      </c>
      <c r="Q18" s="165" t="s">
        <v>271</v>
      </c>
    </row>
    <row r="19" ht="13.5" customHeight="1" spans="1:17" x14ac:dyDescent="0.25">
      <c r="A19" s="27">
        <f>A20+1</f>
        <v>2022</v>
      </c>
      <c r="B19" s="170"/>
      <c r="C19" s="41">
        <f>+TRUNC(C8/50)*50</f>
        <v>83250</v>
      </c>
      <c r="D19" s="42">
        <f>+TRUNC(D8/50)*50</f>
        <v>516650</v>
      </c>
      <c r="E19" s="171" t="str">
        <f>E8</f>
        <v>excess</v>
      </c>
      <c r="F19" s="41">
        <f>+TRUNC(F8/50)*50</f>
        <v>41600</v>
      </c>
      <c r="G19" s="42">
        <f>+TRUNC(G8/50)*50</f>
        <v>459250</v>
      </c>
      <c r="H19" s="171" t="str">
        <f>H8</f>
        <v>excess</v>
      </c>
      <c r="I19" s="41">
        <f>+TRUNC(I8/50)*50</f>
        <v>55750</v>
      </c>
      <c r="J19" s="42">
        <f>+TRUNC(J8/50)*50</f>
        <v>487950</v>
      </c>
      <c r="K19" s="171" t="str">
        <f>K8</f>
        <v>excess</v>
      </c>
      <c r="L19" s="41">
        <f>+TRUNC(L8/50)*50</f>
        <v>41600</v>
      </c>
      <c r="M19" s="42">
        <f>+TRUNC(M8/50)*50</f>
        <v>258300</v>
      </c>
      <c r="N19" s="171">
        <f>N29</f>
        <v>0</v>
      </c>
      <c r="O19" s="41">
        <f>+TRUNC(O8/50)*50</f>
        <v>2800</v>
      </c>
      <c r="P19" s="42">
        <f>+TRUNC(P8/50)*50</f>
        <v>13650</v>
      </c>
      <c r="Q19" s="171" t="str">
        <f>Q8</f>
        <v>excess</v>
      </c>
    </row>
    <row r="20" ht="12.75" customHeight="1" spans="1:17" x14ac:dyDescent="0.25">
      <c r="A20" s="18">
        <f>A21+1</f>
        <v>2021</v>
      </c>
      <c r="B20" s="172"/>
      <c r="C20" s="44">
        <f>+TRUNC(C9/50)*50</f>
        <v>80800</v>
      </c>
      <c r="D20" s="45">
        <f>+TRUNC(D9/50)*50</f>
        <v>501600</v>
      </c>
      <c r="E20" s="173" t="str">
        <f>E9</f>
        <v>excess</v>
      </c>
      <c r="F20" s="44">
        <f>+TRUNC(F9/50)*50</f>
        <v>40400</v>
      </c>
      <c r="G20" s="45">
        <f>+TRUNC(G9/50)*50</f>
        <v>445850</v>
      </c>
      <c r="H20" s="173" t="str">
        <f>H9</f>
        <v>excess</v>
      </c>
      <c r="I20" s="44">
        <f>+TRUNC(I9/50)*50</f>
        <v>54100</v>
      </c>
      <c r="J20" s="45">
        <f>+TRUNC(J9/50)*50</f>
        <v>473750</v>
      </c>
      <c r="K20" s="173" t="str">
        <f>K9</f>
        <v>excess</v>
      </c>
      <c r="L20" s="44">
        <f>+TRUNC(L9/50)*50</f>
        <v>40400</v>
      </c>
      <c r="M20" s="45">
        <f>+TRUNC(M9/50)*50</f>
        <v>250800</v>
      </c>
      <c r="N20" s="173">
        <f>N30</f>
        <v>0</v>
      </c>
      <c r="O20" s="44">
        <f>+TRUNC(O9/50)*50</f>
        <v>2700</v>
      </c>
      <c r="P20" s="45">
        <f>+TRUNC(P9/50)*50</f>
        <v>13250</v>
      </c>
      <c r="Q20" s="173" t="str">
        <f>Q9</f>
        <v>excess</v>
      </c>
    </row>
    <row r="21" ht="12.75" customHeight="1" spans="1:17" x14ac:dyDescent="0.25">
      <c r="A21" s="18">
        <f>A22+1</f>
        <v>2020</v>
      </c>
      <c r="B21" s="172"/>
      <c r="C21" s="44">
        <f>+TRUNC(C10/50)*50</f>
        <v>79950</v>
      </c>
      <c r="D21" s="45">
        <f>+TRUNC(D10/50)*50</f>
        <v>496100</v>
      </c>
      <c r="E21" s="173" t="str">
        <f>E10</f>
        <v>excess</v>
      </c>
      <c r="F21" s="44">
        <f>+TRUNC(F10/50)*50</f>
        <v>39950</v>
      </c>
      <c r="G21" s="45">
        <f>+TRUNC(G10/50)*50</f>
        <v>441000</v>
      </c>
      <c r="H21" s="173" t="str">
        <f>H10</f>
        <v>excess</v>
      </c>
      <c r="I21" s="44">
        <f>+TRUNC(I10/50)*50</f>
        <v>53500</v>
      </c>
      <c r="J21" s="45">
        <f>+TRUNC(J10/50)*50</f>
        <v>468550</v>
      </c>
      <c r="K21" s="173" t="str">
        <f>K10</f>
        <v>excess</v>
      </c>
      <c r="L21" s="44">
        <f>+TRUNC(L10/50)*50</f>
        <v>39950</v>
      </c>
      <c r="M21" s="45">
        <f>+TRUNC(M10/50)*50</f>
        <v>248050</v>
      </c>
      <c r="N21" s="173">
        <f>N31</f>
        <v>0</v>
      </c>
      <c r="O21" s="44">
        <f>+TRUNC(O10/50)*50</f>
        <v>2650</v>
      </c>
      <c r="P21" s="45">
        <f>+TRUNC(P10/50)*50</f>
        <v>13150</v>
      </c>
      <c r="Q21" s="173" t="str">
        <f>Q10</f>
        <v>excess</v>
      </c>
    </row>
    <row r="22" ht="12.75" customHeight="1" spans="1:17" x14ac:dyDescent="0.25">
      <c r="A22" s="18">
        <f>A23+1</f>
        <v>2019</v>
      </c>
      <c r="B22" s="172"/>
      <c r="C22" s="44">
        <f>+TRUNC(C11/50)*50</f>
        <v>78700</v>
      </c>
      <c r="D22" s="45">
        <f>+TRUNC(D11/50)*50</f>
        <v>488500</v>
      </c>
      <c r="E22" s="173" t="str">
        <f>E11</f>
        <v>excess</v>
      </c>
      <c r="F22" s="44">
        <f>+TRUNC(F11/25)*25</f>
        <v>39350</v>
      </c>
      <c r="G22" s="45">
        <f>+TRUNC(G11/50)*50</f>
        <v>434250</v>
      </c>
      <c r="H22" s="173" t="str">
        <f>H11</f>
        <v>excess</v>
      </c>
      <c r="I22" s="44">
        <f>+TRUNC(I11/50)*50</f>
        <v>52700</v>
      </c>
      <c r="J22" s="45">
        <f>+TRUNC(J11/50)*50</f>
        <v>461400</v>
      </c>
      <c r="K22" s="173" t="str">
        <f>K11</f>
        <v>excess</v>
      </c>
      <c r="L22" s="44">
        <f>+TRUNC(L11/50)*50</f>
        <v>39350</v>
      </c>
      <c r="M22" s="45">
        <f>+TRUNC(M11/50)*50</f>
        <v>244250</v>
      </c>
      <c r="N22" s="173" t="str">
        <f>N11</f>
        <v>excess</v>
      </c>
      <c r="O22" s="44">
        <f>+TRUNC(O11/50)*50</f>
        <v>2650</v>
      </c>
      <c r="P22" s="45">
        <f>+TRUNC(P11/50)*50</f>
        <v>12950</v>
      </c>
      <c r="Q22" s="173" t="str">
        <f>Q11</f>
        <v>excess</v>
      </c>
    </row>
    <row r="23" ht="12.75" customHeight="1" spans="1:17" x14ac:dyDescent="0.25">
      <c r="A23" s="18">
        <v>2018</v>
      </c>
      <c r="B23" s="86"/>
      <c r="C23" s="87">
        <f>+TRUNC(C12/50)*50</f>
        <v>77200</v>
      </c>
      <c r="D23" s="88">
        <f>+TRUNC(D12/50)*50</f>
        <v>479000</v>
      </c>
      <c r="E23" s="174" t="str">
        <f>E12</f>
        <v>excess</v>
      </c>
      <c r="F23" s="87">
        <f>+TRUNC(F12/50)*50</f>
        <v>38600</v>
      </c>
      <c r="G23" s="88">
        <f>+TRUNC(G12/50)*50</f>
        <v>425800</v>
      </c>
      <c r="H23" s="174" t="str">
        <f>H12</f>
        <v>excess</v>
      </c>
      <c r="I23" s="87">
        <f>+TRUNC(I12/50)*50</f>
        <v>51700</v>
      </c>
      <c r="J23" s="88">
        <f>+TRUNC(J12/50)*50</f>
        <v>452400</v>
      </c>
      <c r="K23" s="174" t="str">
        <f>K12</f>
        <v>excess</v>
      </c>
      <c r="L23" s="87">
        <f>+TRUNC(L12/50)*50</f>
        <v>38600</v>
      </c>
      <c r="M23" s="88">
        <f>+TRUNC(M12/50)*50</f>
        <v>239500</v>
      </c>
      <c r="N23" s="174" t="str">
        <f>N12</f>
        <v>excess</v>
      </c>
      <c r="O23" s="87">
        <f>+TRUNC(O12/50)*50</f>
        <v>2600</v>
      </c>
      <c r="P23" s="88">
        <f>+TRUNC(P12/50)*50</f>
        <v>12700</v>
      </c>
      <c r="Q23" s="174" t="str">
        <f>Q12</f>
        <v>excess</v>
      </c>
    </row>
    <row r="24" ht="12.75" customHeight="1" spans="1:17" x14ac:dyDescent="0.25">
      <c r="A24" s="18"/>
      <c r="B24" s="86"/>
      <c r="C24" s="88"/>
      <c r="D24" s="88"/>
      <c r="E24" s="175"/>
      <c r="F24" s="88"/>
      <c r="G24" s="88"/>
      <c r="H24" s="175"/>
      <c r="I24" s="88"/>
      <c r="J24" s="88"/>
      <c r="K24" s="175"/>
      <c r="L24" s="88"/>
      <c r="M24" s="88"/>
      <c r="N24" s="175"/>
      <c r="O24" s="88"/>
      <c r="P24" s="88"/>
      <c r="Q24" s="175"/>
    </row>
    <row r="26" ht="18" customHeight="1" spans="1:1" x14ac:dyDescent="0.25">
      <c r="A26" s="14" t="s">
        <v>274</v>
      </c>
    </row>
    <row r="27" ht="12.75" customHeight="1" spans="1:1" x14ac:dyDescent="0.25">
      <c r="A27" s="16" t="s">
        <v>176</v>
      </c>
    </row>
    <row r="29" ht="15" customHeight="1" spans="1:1" x14ac:dyDescent="0.25">
      <c r="A29" s="91" t="s">
        <v>272</v>
      </c>
    </row>
    <row r="30" ht="15" customHeight="1" spans="1:1" x14ac:dyDescent="0.25">
      <c r="A30" s="91" t="s">
        <v>273</v>
      </c>
    </row>
    <row r="31" ht="13.5" customHeight="1" spans="4:18" x14ac:dyDescent="0.25">
      <c r="D31" s="71" t="s">
        <v>27</v>
      </c>
      <c r="E31" s="22"/>
      <c r="F31" s="135"/>
      <c r="G31" s="71" t="s">
        <v>36</v>
      </c>
      <c r="H31" s="22"/>
      <c r="I31" s="135"/>
      <c r="J31" s="71" t="s">
        <v>37</v>
      </c>
      <c r="L31" s="135"/>
      <c r="M31" s="71" t="s">
        <v>38</v>
      </c>
      <c r="O31" s="135"/>
      <c r="P31" s="71" t="s">
        <v>39</v>
      </c>
      <c r="R31" s="135"/>
    </row>
    <row r="32" ht="27.75" customHeight="1" spans="1:18" x14ac:dyDescent="0.25">
      <c r="A32" s="55" t="s">
        <v>6</v>
      </c>
      <c r="D32" s="176" t="s">
        <v>270</v>
      </c>
      <c r="E32" s="177" t="s">
        <v>251</v>
      </c>
      <c r="F32" s="177" t="s">
        <v>271</v>
      </c>
      <c r="G32" s="176" t="s">
        <v>270</v>
      </c>
      <c r="H32" s="177" t="s">
        <v>251</v>
      </c>
      <c r="I32" s="177" t="s">
        <v>271</v>
      </c>
      <c r="J32" s="176" t="s">
        <v>270</v>
      </c>
      <c r="K32" s="177" t="s">
        <v>251</v>
      </c>
      <c r="L32" s="177" t="s">
        <v>271</v>
      </c>
      <c r="M32" s="176" t="s">
        <v>236</v>
      </c>
      <c r="N32" s="177" t="s">
        <v>251</v>
      </c>
      <c r="O32" s="177" t="s">
        <v>252</v>
      </c>
      <c r="P32" s="176" t="s">
        <v>236</v>
      </c>
      <c r="Q32" s="177" t="s">
        <v>251</v>
      </c>
      <c r="R32" s="177" t="s">
        <v>252</v>
      </c>
    </row>
    <row r="33" ht="12.75" customHeight="1" spans="1:18" x14ac:dyDescent="0.25">
      <c r="A33" s="27">
        <f>A34+1</f>
        <v>2022</v>
      </c>
      <c r="D33" s="41">
        <f>+TRUNC(D48/50)*50</f>
        <v>83200</v>
      </c>
      <c r="E33" s="42">
        <f>+TRUNC(E48/50)*50</f>
        <v>516050</v>
      </c>
      <c r="F33" s="178" t="str">
        <f>F48</f>
        <v>excess</v>
      </c>
      <c r="G33" s="41">
        <f>+TRUNC(G48/50)*50</f>
        <v>41600</v>
      </c>
      <c r="H33" s="42">
        <f>+TRUNC(H48/50)*50</f>
        <v>458700</v>
      </c>
      <c r="I33" s="178" t="str">
        <f>I48</f>
        <v>excess</v>
      </c>
      <c r="J33" s="41">
        <f>+TRUNC(J48/50)*50</f>
        <v>55750</v>
      </c>
      <c r="K33" s="42">
        <f>+TRUNC(K48/50)*50</f>
        <v>487400</v>
      </c>
      <c r="L33" s="178" t="str">
        <f>L48</f>
        <v>excess</v>
      </c>
      <c r="M33" s="41">
        <f>+TRUNC(M48/50)*50</f>
        <v>41600</v>
      </c>
      <c r="N33" s="42">
        <f>+TRUNC(N48/50)*50</f>
        <v>258000</v>
      </c>
      <c r="O33" s="178" t="str">
        <f>O48</f>
        <v>excess</v>
      </c>
      <c r="P33" s="41">
        <f>+TRUNC(P48/50)*50</f>
        <v>2800</v>
      </c>
      <c r="Q33" s="42">
        <f>+TRUNC(Q48/50)*50</f>
        <v>13700</v>
      </c>
      <c r="R33" s="178" t="str">
        <f>R48</f>
        <v>excess</v>
      </c>
    </row>
    <row r="34" ht="12.75" customHeight="1" spans="1:18" s="73" customFormat="1" x14ac:dyDescent="0.25">
      <c r="A34" s="47">
        <f>A35+1</f>
        <v>2021</v>
      </c>
      <c r="D34" s="48">
        <f>+TRUNC(D49/50)*50</f>
        <v>80800</v>
      </c>
      <c r="E34" s="49">
        <f>+TRUNC(E49/50)*50</f>
        <v>501050</v>
      </c>
      <c r="F34" s="179" t="str">
        <f>F49</f>
        <v>excess</v>
      </c>
      <c r="G34" s="48">
        <f>+TRUNC(G49/50)*50</f>
        <v>40400</v>
      </c>
      <c r="H34" s="49">
        <f>+TRUNC(H49/50)*50</f>
        <v>445350</v>
      </c>
      <c r="I34" s="179" t="str">
        <f>I49</f>
        <v>excess</v>
      </c>
      <c r="J34" s="48">
        <f>+TRUNC(J49/50)*50</f>
        <v>54100</v>
      </c>
      <c r="K34" s="49">
        <f>+TRUNC(K49/50)*50</f>
        <v>473200</v>
      </c>
      <c r="L34" s="179" t="str">
        <f>L49</f>
        <v>excess</v>
      </c>
      <c r="M34" s="48">
        <f>+TRUNC(M49/50)*50</f>
        <v>40400</v>
      </c>
      <c r="N34" s="49">
        <f>+TRUNC(N49/50)*50</f>
        <v>250500</v>
      </c>
      <c r="O34" s="179" t="str">
        <f>O49</f>
        <v>excess</v>
      </c>
      <c r="P34" s="48">
        <f>+TRUNC(P49/50)*50</f>
        <v>2700</v>
      </c>
      <c r="Q34" s="49">
        <f>+TRUNC(Q49/50)*50</f>
        <v>13300</v>
      </c>
      <c r="R34" s="179" t="str">
        <f>R49</f>
        <v>excess</v>
      </c>
    </row>
    <row r="35" ht="12.75" customHeight="1" spans="1:18" s="73" customFormat="1" x14ac:dyDescent="0.25">
      <c r="A35" s="47">
        <f>A36+1</f>
        <v>2020</v>
      </c>
      <c r="D35" s="48">
        <f>+TRUNC(D50/50)*50</f>
        <v>79900</v>
      </c>
      <c r="E35" s="49">
        <f>+TRUNC(E50/50)*50</f>
        <v>495550</v>
      </c>
      <c r="F35" s="179" t="str">
        <f>F50</f>
        <v>excess</v>
      </c>
      <c r="G35" s="48">
        <f>+TRUNC(G50/50)*50</f>
        <v>39950</v>
      </c>
      <c r="H35" s="49">
        <f>+TRUNC(H50/50)*50</f>
        <v>440500</v>
      </c>
      <c r="I35" s="179" t="str">
        <f>I50</f>
        <v>excess</v>
      </c>
      <c r="J35" s="48">
        <f>+TRUNC(J50/50)*50</f>
        <v>53500</v>
      </c>
      <c r="K35" s="49">
        <f>+TRUNC(K50/50)*50</f>
        <v>468000</v>
      </c>
      <c r="L35" s="179" t="str">
        <f>L50</f>
        <v>excess</v>
      </c>
      <c r="M35" s="48">
        <f>+TRUNC(M50/50)*50</f>
        <v>39950</v>
      </c>
      <c r="N35" s="49">
        <f>+TRUNC(N50/50)*50</f>
        <v>247750</v>
      </c>
      <c r="O35" s="179" t="str">
        <f>O50</f>
        <v>excess</v>
      </c>
      <c r="P35" s="48">
        <f>+TRUNC(P50/50)*50</f>
        <v>2700</v>
      </c>
      <c r="Q35" s="49">
        <f>+TRUNC(Q50/50)*50</f>
        <v>13150</v>
      </c>
      <c r="R35" s="179" t="str">
        <f>R50</f>
        <v>excess</v>
      </c>
    </row>
    <row r="36" ht="12.75" customHeight="1" spans="1:18" x14ac:dyDescent="0.25">
      <c r="A36" s="47">
        <f>A37+1</f>
        <v>2019</v>
      </c>
      <c r="B36" s="73"/>
      <c r="C36" s="73"/>
      <c r="D36" s="48">
        <f>+TRUNC(D51/50)*50</f>
        <v>78700</v>
      </c>
      <c r="E36" s="49">
        <f>+TRUNC(E51/50)*50</f>
        <v>488000</v>
      </c>
      <c r="F36" s="179" t="str">
        <f>F51</f>
        <v>excess</v>
      </c>
      <c r="G36" s="48">
        <f>+TRUNC(G51/50)*50</f>
        <v>39350</v>
      </c>
      <c r="H36" s="49">
        <f>+TRUNC(H51/50)*50</f>
        <v>433750</v>
      </c>
      <c r="I36" s="179" t="str">
        <f>I51</f>
        <v>excess</v>
      </c>
      <c r="J36" s="48">
        <f>+TRUNC(J51/50)*50</f>
        <v>52700</v>
      </c>
      <c r="K36" s="49">
        <f>+TRUNC(K51/50)*50</f>
        <v>460900</v>
      </c>
      <c r="L36" s="179" t="str">
        <f>L51</f>
        <v>excess</v>
      </c>
      <c r="M36" s="48">
        <f>+TRUNC(M51/50)*50</f>
        <v>39350</v>
      </c>
      <c r="N36" s="49">
        <f>+TRUNC(N51/50)*50</f>
        <v>244000</v>
      </c>
      <c r="O36" s="179" t="str">
        <f>O51</f>
        <v>excess</v>
      </c>
      <c r="P36" s="48">
        <f>+TRUNC(P51/50)*50</f>
        <v>2650</v>
      </c>
      <c r="Q36" s="49">
        <f>+TRUNC(Q51/50)*50</f>
        <v>12950</v>
      </c>
      <c r="R36" s="179" t="str">
        <f>R51</f>
        <v>excess</v>
      </c>
    </row>
    <row r="37" ht="12.75" customHeight="1" spans="1:18" x14ac:dyDescent="0.25">
      <c r="A37" s="47">
        <f>A38+1</f>
        <v>2018</v>
      </c>
      <c r="B37" s="73"/>
      <c r="C37" s="73"/>
      <c r="D37" s="48">
        <f>+TRUNC(D52/50)*50</f>
        <v>77150</v>
      </c>
      <c r="E37" s="49">
        <f>+TRUNC(E52/50)*50</f>
        <v>478450</v>
      </c>
      <c r="F37" s="179" t="str">
        <f>F52</f>
        <v>excess</v>
      </c>
      <c r="G37" s="48">
        <f>+TRUNC(G52/50)*50</f>
        <v>38550</v>
      </c>
      <c r="H37" s="49">
        <f>+TRUNC(H52/50)*50</f>
        <v>425300</v>
      </c>
      <c r="I37" s="179" t="str">
        <f>I52</f>
        <v>excess</v>
      </c>
      <c r="J37" s="48">
        <f>+TRUNC(J52/50)*50</f>
        <v>51650</v>
      </c>
      <c r="K37" s="49">
        <f>+TRUNC(K52/50)*50</f>
        <v>451850</v>
      </c>
      <c r="L37" s="179" t="str">
        <f>L52</f>
        <v>excess</v>
      </c>
      <c r="M37" s="48">
        <f>+TRUNC(M52/50)*50</f>
        <v>38550</v>
      </c>
      <c r="N37" s="49">
        <f>+TRUNC(N52/50)*50</f>
        <v>239200</v>
      </c>
      <c r="O37" s="179" t="str">
        <f>O52</f>
        <v>excess</v>
      </c>
      <c r="P37" s="48">
        <f>+TRUNC(P52/50)*50</f>
        <v>2600</v>
      </c>
      <c r="Q37" s="49">
        <f>+TRUNC(Q52/50)*50</f>
        <v>12700</v>
      </c>
      <c r="R37" s="179" t="str">
        <f>R52</f>
        <v>excess</v>
      </c>
    </row>
    <row r="38" ht="12.75" customHeight="1" spans="1:18" x14ac:dyDescent="0.25">
      <c r="A38" s="18">
        <f>A39+1</f>
        <v>2017</v>
      </c>
      <c r="D38" s="44">
        <f>+TRUNC(D53/50)*50</f>
        <v>75900</v>
      </c>
      <c r="E38" s="45">
        <f>+TRUNC(E53/50)*50</f>
        <v>470700</v>
      </c>
      <c r="F38" s="32" t="str">
        <f>F53</f>
        <v>excess</v>
      </c>
      <c r="G38" s="44">
        <f>+TRUNC(G53/50)*50</f>
        <v>37950</v>
      </c>
      <c r="H38" s="45">
        <f>+TRUNC(H53/50)*50</f>
        <v>418400</v>
      </c>
      <c r="I38" s="32" t="str">
        <f>I53</f>
        <v>excess</v>
      </c>
      <c r="J38" s="44">
        <f>+TRUNC(J53/50)*50</f>
        <v>50800</v>
      </c>
      <c r="K38" s="45">
        <f>+TRUNC(K53/50)*50</f>
        <v>444550</v>
      </c>
      <c r="L38" s="32" t="str">
        <f>L53</f>
        <v>excess</v>
      </c>
      <c r="M38" s="44">
        <f>+TRUNC(M53/50)*50</f>
        <v>37950</v>
      </c>
      <c r="N38" s="45">
        <f>+TRUNC(N53/50)*50</f>
        <v>235350</v>
      </c>
      <c r="O38" s="32" t="str">
        <f>O53</f>
        <v>excess</v>
      </c>
      <c r="P38" s="44">
        <f>+TRUNC(P53/50)*50</f>
        <v>2550</v>
      </c>
      <c r="Q38" s="45">
        <f>+TRUNC(Q53/50)*50</f>
        <v>12500</v>
      </c>
      <c r="R38" s="32" t="str">
        <f>R53</f>
        <v>excess</v>
      </c>
    </row>
    <row r="39" ht="12.75" customHeight="1" spans="1:18" x14ac:dyDescent="0.25">
      <c r="A39" s="18">
        <f>A40+1</f>
        <v>2016</v>
      </c>
      <c r="D39" s="44">
        <f>+TRUNC(D54/50)*50</f>
        <v>75300</v>
      </c>
      <c r="E39" s="45">
        <f>+TRUNC(E54/50)*50</f>
        <v>466950</v>
      </c>
      <c r="F39" s="32" t="str">
        <f>F54</f>
        <v>excess</v>
      </c>
      <c r="G39" s="44">
        <f>+TRUNC(G54/50)*50</f>
        <v>37650</v>
      </c>
      <c r="H39" s="45">
        <f>+TRUNC(H54/50)*50</f>
        <v>415050</v>
      </c>
      <c r="I39" s="32" t="str">
        <f>I54</f>
        <v>excess</v>
      </c>
      <c r="J39" s="44">
        <f>+TRUNC(J54/50)*50</f>
        <v>50400</v>
      </c>
      <c r="K39" s="45">
        <f>+TRUNC(K54/50)*50</f>
        <v>441000</v>
      </c>
      <c r="L39" s="32" t="str">
        <f>L54</f>
        <v>excess</v>
      </c>
      <c r="M39" s="44">
        <f>+TRUNC(M54/50)*50</f>
        <v>37650</v>
      </c>
      <c r="N39" s="45">
        <f>+TRUNC(N54/50)*50</f>
        <v>233450</v>
      </c>
      <c r="O39" s="32" t="str">
        <f>O54</f>
        <v>excess</v>
      </c>
      <c r="P39" s="44">
        <f>+TRUNC(P54/50)*50</f>
        <v>2550</v>
      </c>
      <c r="Q39" s="45">
        <f>+TRUNC(Q54/50)*50</f>
        <v>12400</v>
      </c>
      <c r="R39" s="32" t="str">
        <f>R54</f>
        <v>excess</v>
      </c>
    </row>
    <row r="40" ht="12.75" customHeight="1" spans="1:18" x14ac:dyDescent="0.25">
      <c r="A40" s="18">
        <f>A41+1</f>
        <v>2015</v>
      </c>
      <c r="D40" s="44">
        <f>+TRUNC(D55/50)*50</f>
        <v>74950</v>
      </c>
      <c r="E40" s="45">
        <f>+TRUNC(E55/50)*50</f>
        <v>464850</v>
      </c>
      <c r="F40" s="32" t="str">
        <f>F55</f>
        <v>excess</v>
      </c>
      <c r="G40" s="44">
        <f>+TRUNC(G55/50)*50</f>
        <v>37450</v>
      </c>
      <c r="H40" s="45">
        <f>+TRUNC(H55/50)*50</f>
        <v>413200</v>
      </c>
      <c r="I40" s="32" t="str">
        <f>I55</f>
        <v>excess</v>
      </c>
      <c r="J40" s="44">
        <f>+TRUNC(J55/50)*50</f>
        <v>50200</v>
      </c>
      <c r="K40" s="45">
        <f>+TRUNC(K55/50)*50</f>
        <v>439000</v>
      </c>
      <c r="L40" s="32" t="str">
        <f>L55</f>
        <v>excess</v>
      </c>
      <c r="M40" s="44">
        <f>+TRUNC(M55/50)*50</f>
        <v>37450</v>
      </c>
      <c r="N40" s="45">
        <f>+TRUNC(N55/50)*50</f>
        <v>232400</v>
      </c>
      <c r="O40" s="32" t="str">
        <f>O55</f>
        <v>excess</v>
      </c>
      <c r="P40" s="44">
        <f>+TRUNC(P55/50)*50</f>
        <v>2500</v>
      </c>
      <c r="Q40" s="45">
        <f>+TRUNC(Q55/50)*50</f>
        <v>12300</v>
      </c>
      <c r="R40" s="32" t="str">
        <f>R55</f>
        <v>excess</v>
      </c>
    </row>
    <row r="41" ht="12.75" customHeight="1" spans="1:18" x14ac:dyDescent="0.25">
      <c r="A41" s="18">
        <f>A42+1</f>
        <v>2014</v>
      </c>
      <c r="D41" s="44">
        <f>+TRUNC(D56/50)*50</f>
        <v>73800</v>
      </c>
      <c r="E41" s="45">
        <f>+TRUNC(E56/50)*50</f>
        <v>457600</v>
      </c>
      <c r="F41" s="32" t="str">
        <f>F56</f>
        <v>excess</v>
      </c>
      <c r="G41" s="44">
        <f>+TRUNC(G56/50)*50</f>
        <v>36900</v>
      </c>
      <c r="H41" s="45">
        <f>+TRUNC(H56/50)*50</f>
        <v>406750</v>
      </c>
      <c r="I41" s="32" t="str">
        <f>I56</f>
        <v>excess</v>
      </c>
      <c r="J41" s="44">
        <f>+TRUNC(J56/50)*50</f>
        <v>49400</v>
      </c>
      <c r="K41" s="45">
        <f>+TRUNC(K56/50)*50</f>
        <v>432200</v>
      </c>
      <c r="L41" s="32" t="str">
        <f>L56</f>
        <v>excess</v>
      </c>
      <c r="M41" s="44">
        <f>+TRUNC(M56/50)*50</f>
        <v>36900</v>
      </c>
      <c r="N41" s="45">
        <f>+TRUNC(N56/50)*50</f>
        <v>228800</v>
      </c>
      <c r="O41" s="32" t="str">
        <f>O56</f>
        <v>excess</v>
      </c>
      <c r="P41" s="44">
        <f>+TRUNC(P56/50)*50</f>
        <v>2500</v>
      </c>
      <c r="Q41" s="45">
        <f>+TRUNC(Q56/50)*50</f>
        <v>12150</v>
      </c>
      <c r="R41" s="32" t="str">
        <f>R56</f>
        <v>excess</v>
      </c>
    </row>
    <row r="42" ht="12.75" customHeight="1" spans="1:18" x14ac:dyDescent="0.25">
      <c r="A42" s="18">
        <v>2013</v>
      </c>
      <c r="D42" s="44">
        <f>+TRUNC(D57/50)*50</f>
        <v>72550</v>
      </c>
      <c r="E42" s="45">
        <f>+TRUNC(E57/50)*50</f>
        <v>450000</v>
      </c>
      <c r="F42" s="32" t="str">
        <f>F57</f>
        <v>excess</v>
      </c>
      <c r="G42" s="44">
        <f>+TRUNC(G57/50)*50</f>
        <v>36250</v>
      </c>
      <c r="H42" s="45">
        <f>+TRUNC(H57/50)*50</f>
        <v>400000</v>
      </c>
      <c r="I42" s="32" t="str">
        <f>I57</f>
        <v>excess</v>
      </c>
      <c r="J42" s="44">
        <f>+TRUNC(J57/50)*50</f>
        <v>48600</v>
      </c>
      <c r="K42" s="45">
        <f>+TRUNC(K57/50)*50</f>
        <v>425000</v>
      </c>
      <c r="L42" s="32" t="str">
        <f>L57</f>
        <v>excess</v>
      </c>
      <c r="M42" s="44">
        <f>+TRUNC(M57/50)*50</f>
        <v>36250</v>
      </c>
      <c r="N42" s="45">
        <f>+TRUNC(N57/50)*50</f>
        <v>225000</v>
      </c>
      <c r="O42" s="32" t="str">
        <f>O57</f>
        <v>excess</v>
      </c>
      <c r="P42" s="44">
        <f>+TRUNC(P57/50)*50</f>
        <v>2450</v>
      </c>
      <c r="Q42" s="45">
        <f>+TRUNC(Q57/50)*50</f>
        <v>11950</v>
      </c>
      <c r="R42" s="32" t="str">
        <f>R57</f>
        <v>excess</v>
      </c>
    </row>
    <row r="44" ht="15" customHeight="1" spans="1:15" x14ac:dyDescent="0.25">
      <c r="A44" s="91" t="s">
        <v>272</v>
      </c>
      <c r="B44" s="91"/>
      <c r="C44" s="91"/>
      <c r="D44" s="135"/>
      <c r="E44" s="135"/>
      <c r="F44" s="135"/>
      <c r="G44" s="135"/>
      <c r="H44" s="90"/>
      <c r="I44" s="90"/>
      <c r="J44" s="89"/>
      <c r="K44" s="89"/>
      <c r="L44" s="89"/>
      <c r="M44" s="89"/>
      <c r="N44" s="89"/>
      <c r="O44" s="89"/>
    </row>
    <row r="45" ht="15" customHeight="1" spans="1:15" x14ac:dyDescent="0.25">
      <c r="A45" s="91" t="s">
        <v>268</v>
      </c>
      <c r="B45" s="91"/>
      <c r="C45" s="91"/>
      <c r="D45" s="135"/>
      <c r="E45" s="135"/>
      <c r="F45" s="135"/>
      <c r="G45" s="135"/>
      <c r="H45" s="90"/>
      <c r="I45" s="90"/>
      <c r="J45" s="89"/>
      <c r="K45" s="89"/>
      <c r="L45" s="89"/>
      <c r="M45" s="89"/>
      <c r="N45" s="89"/>
      <c r="O45" s="89"/>
    </row>
    <row r="46" ht="15" customHeight="1" spans="1:18" x14ac:dyDescent="0.25">
      <c r="A46" s="91"/>
      <c r="B46" s="91"/>
      <c r="C46" s="91"/>
      <c r="D46" s="71" t="s">
        <v>27</v>
      </c>
      <c r="E46" s="22"/>
      <c r="F46" s="135"/>
      <c r="G46" s="71" t="s">
        <v>36</v>
      </c>
      <c r="H46" s="22"/>
      <c r="I46" s="135"/>
      <c r="J46" s="71" t="s">
        <v>37</v>
      </c>
      <c r="L46" s="135"/>
      <c r="M46" s="71" t="s">
        <v>38</v>
      </c>
      <c r="O46" s="135"/>
      <c r="P46" s="71" t="s">
        <v>39</v>
      </c>
      <c r="R46" s="135"/>
    </row>
    <row r="47" ht="27.75" customHeight="1" spans="1:18" x14ac:dyDescent="0.25">
      <c r="A47" s="55" t="s">
        <v>6</v>
      </c>
      <c r="B47" s="55" t="s">
        <v>275</v>
      </c>
      <c r="C47" s="55" t="s">
        <v>276</v>
      </c>
      <c r="D47" s="176" t="s">
        <v>270</v>
      </c>
      <c r="E47" s="177" t="s">
        <v>251</v>
      </c>
      <c r="F47" s="177" t="s">
        <v>271</v>
      </c>
      <c r="G47" s="176" t="s">
        <v>270</v>
      </c>
      <c r="H47" s="177" t="s">
        <v>251</v>
      </c>
      <c r="I47" s="177" t="s">
        <v>271</v>
      </c>
      <c r="J47" s="176" t="s">
        <v>270</v>
      </c>
      <c r="K47" s="177" t="s">
        <v>251</v>
      </c>
      <c r="L47" s="177" t="s">
        <v>271</v>
      </c>
      <c r="M47" s="176" t="s">
        <v>270</v>
      </c>
      <c r="N47" s="177" t="s">
        <v>251</v>
      </c>
      <c r="O47" s="177" t="s">
        <v>271</v>
      </c>
      <c r="P47" s="176" t="s">
        <v>270</v>
      </c>
      <c r="Q47" s="177" t="s">
        <v>277</v>
      </c>
      <c r="R47" s="177" t="s">
        <v>271</v>
      </c>
    </row>
    <row r="48" ht="12.75" customHeight="1" spans="1:18" x14ac:dyDescent="0.25">
      <c r="A48" s="27">
        <f>A49+1</f>
        <v>2022</v>
      </c>
      <c r="B48" s="77">
        <f>'CPI-U &amp; C-CPI-U Calcs'!$P14</f>
        <v>1.88345374217448</v>
      </c>
      <c r="C48" s="77">
        <f>'CPI-U &amp; C-CPI-U Calcs'!$H14</f>
        <v>1.14687477598894</v>
      </c>
      <c r="D48" s="41">
        <f>D$77*$B48</f>
        <v>83248.6554041121</v>
      </c>
      <c r="E48" s="42">
        <f>E$57*$C48</f>
        <v>516093.649195022</v>
      </c>
      <c r="F48" s="42" t="s">
        <v>243</v>
      </c>
      <c r="G48" s="41">
        <f>G$77*$B48</f>
        <v>41624.3277020561</v>
      </c>
      <c r="H48" s="42">
        <f>H$57*$C48</f>
        <v>458749.910395575</v>
      </c>
      <c r="I48" s="42" t="s">
        <v>243</v>
      </c>
      <c r="J48" s="41">
        <f>J$77*$B48</f>
        <v>55750.2307683647</v>
      </c>
      <c r="K48" s="42">
        <f>K$57*$C48</f>
        <v>487421.779795298</v>
      </c>
      <c r="L48" s="42" t="s">
        <v>243</v>
      </c>
      <c r="M48" s="41">
        <f>M$77*$B48</f>
        <v>41624.3277020561</v>
      </c>
      <c r="N48" s="42">
        <f>N$57*$C48</f>
        <v>258046.824597511</v>
      </c>
      <c r="O48" s="42" t="s">
        <v>243</v>
      </c>
      <c r="P48" s="41">
        <f>P$77*$B48</f>
        <v>2825.18061326172</v>
      </c>
      <c r="Q48" s="42">
        <f>Q$57*$C48</f>
        <v>13706.3004478438</v>
      </c>
      <c r="R48" s="42" t="s">
        <v>243</v>
      </c>
    </row>
    <row r="49" ht="12.75" customHeight="1" spans="1:18" s="73" customFormat="1" x14ac:dyDescent="0.25">
      <c r="A49" s="47">
        <f>A50+1</f>
        <v>2021</v>
      </c>
      <c r="B49" s="78">
        <f>'CPI-U &amp; C-CPI-U Calcs'!$P15</f>
        <v>1.82859586618882</v>
      </c>
      <c r="C49" s="78">
        <f>'CPI-U &amp; C-CPI-U Calcs'!$H15</f>
        <v>1.11347065629994</v>
      </c>
      <c r="D49" s="48">
        <f>D$77*$B49</f>
        <v>80823.9372855458</v>
      </c>
      <c r="E49" s="49">
        <f>E$57*$C49</f>
        <v>501061.795334973</v>
      </c>
      <c r="F49" s="49" t="s">
        <v>243</v>
      </c>
      <c r="G49" s="48">
        <f>G$77*$B49</f>
        <v>40411.9686427729</v>
      </c>
      <c r="H49" s="49">
        <f>H$57*$C49</f>
        <v>445388.262519976</v>
      </c>
      <c r="I49" s="49" t="s">
        <v>243</v>
      </c>
      <c r="J49" s="48">
        <f>J$77*$B49</f>
        <v>54126.437639189</v>
      </c>
      <c r="K49" s="49">
        <f>K$57*$C49</f>
        <v>473225.028927474</v>
      </c>
      <c r="L49" s="49" t="s">
        <v>243</v>
      </c>
      <c r="M49" s="48">
        <f>M$77*$B49</f>
        <v>40411.9686427729</v>
      </c>
      <c r="N49" s="49">
        <f>N$57*$C49</f>
        <v>250530.897667486</v>
      </c>
      <c r="O49" s="49" t="s">
        <v>243</v>
      </c>
      <c r="P49" s="48">
        <f>P$77*$B49</f>
        <v>2742.89379928323</v>
      </c>
      <c r="Q49" s="49">
        <f>Q$57*$C49</f>
        <v>13307.0878134406</v>
      </c>
      <c r="R49" s="49" t="s">
        <v>243</v>
      </c>
    </row>
    <row r="50" ht="12.75" customHeight="1" spans="1:18" s="73" customFormat="1" x14ac:dyDescent="0.25">
      <c r="A50" s="47">
        <f>A51+1</f>
        <v>2020</v>
      </c>
      <c r="B50" s="78">
        <f>'CPI-U &amp; C-CPI-U Calcs'!$P16</f>
        <v>1.80859352979952</v>
      </c>
      <c r="C50" s="78">
        <f>'CPI-U &amp; C-CPI-U Calcs'!$H16</f>
        <v>1.10129081107622</v>
      </c>
      <c r="D50" s="48">
        <f>D$77*$B50</f>
        <v>79939.8340171389</v>
      </c>
      <c r="E50" s="49">
        <f>E$57*$C50</f>
        <v>495580.864984297</v>
      </c>
      <c r="F50" s="49" t="s">
        <v>243</v>
      </c>
      <c r="G50" s="48">
        <f>G$77*$B50</f>
        <v>39969.9170085694</v>
      </c>
      <c r="H50" s="49">
        <f>H$57*$C50</f>
        <v>440516.324430486</v>
      </c>
      <c r="I50" s="49" t="s">
        <v>243</v>
      </c>
      <c r="J50" s="48">
        <f>J$77*$B50</f>
        <v>53534.3684820658</v>
      </c>
      <c r="K50" s="49">
        <f>K$57*$C50</f>
        <v>468048.594707391</v>
      </c>
      <c r="L50" s="49" t="s">
        <v>243</v>
      </c>
      <c r="M50" s="48">
        <f>M$77*$B50</f>
        <v>39969.9170085694</v>
      </c>
      <c r="N50" s="49">
        <f>N$57*$C50</f>
        <v>247790.432492148</v>
      </c>
      <c r="O50" s="49" t="s">
        <v>243</v>
      </c>
      <c r="P50" s="48">
        <f>P$77*$B50</f>
        <v>2712.89029469928</v>
      </c>
      <c r="Q50" s="49">
        <f>Q$57*$C50</f>
        <v>13161.5264831718</v>
      </c>
      <c r="R50" s="49" t="s">
        <v>243</v>
      </c>
    </row>
    <row r="51" ht="12.75" customHeight="1" spans="1:18" x14ac:dyDescent="0.25">
      <c r="A51" s="47">
        <f>A52+1</f>
        <v>2019</v>
      </c>
      <c r="B51" s="78">
        <f>'CPI-U &amp; C-CPI-U Calcs'!$P17</f>
        <v>1.78097110536044</v>
      </c>
      <c r="C51" s="78">
        <f>'CPI-U &amp; C-CPI-U Calcs'!$H17</f>
        <v>1.08447093324674</v>
      </c>
      <c r="D51" s="48">
        <f>D$77*$B51</f>
        <v>78718.9228569313</v>
      </c>
      <c r="E51" s="49">
        <f>E$57*$C51</f>
        <v>488011.919961032</v>
      </c>
      <c r="F51" s="49" t="s">
        <v>243</v>
      </c>
      <c r="G51" s="48">
        <f>G$77*$B51</f>
        <v>39359.4614284656</v>
      </c>
      <c r="H51" s="49">
        <f>H$57*$C51</f>
        <v>433788.373298695</v>
      </c>
      <c r="I51" s="49" t="s">
        <v>243</v>
      </c>
      <c r="J51" s="48">
        <f>J$77*$B51</f>
        <v>52716.7447186689</v>
      </c>
      <c r="K51" s="49">
        <f>K$57*$C51</f>
        <v>460900.146629863</v>
      </c>
      <c r="L51" s="49" t="s">
        <v>243</v>
      </c>
      <c r="M51" s="48">
        <f>M$77*$B51</f>
        <v>39359.4614284656</v>
      </c>
      <c r="N51" s="49">
        <f>N$57*$C51</f>
        <v>244005.959980516</v>
      </c>
      <c r="O51" s="49" t="s">
        <v>243</v>
      </c>
      <c r="P51" s="48">
        <f>P$77*$B51</f>
        <v>2671.45665804065</v>
      </c>
      <c r="Q51" s="49">
        <f>Q$57*$C51</f>
        <v>12960.5121232318</v>
      </c>
      <c r="R51" s="49" t="s">
        <v>243</v>
      </c>
    </row>
    <row r="52" ht="12.75" customHeight="1" spans="1:18" x14ac:dyDescent="0.25">
      <c r="A52" s="47">
        <f>A53+1</f>
        <v>2018</v>
      </c>
      <c r="B52" s="78">
        <f>'CPI-U &amp; C-CPI-U Calcs'!$P18</f>
        <v>1.7461685979558</v>
      </c>
      <c r="C52" s="78">
        <f>'CPI-U &amp; C-CPI-U Calcs'!$H18</f>
        <v>1.06327895120344</v>
      </c>
      <c r="D52" s="48">
        <f>D$77*$B52</f>
        <v>77180.6520296463</v>
      </c>
      <c r="E52" s="49">
        <f>E$57*$C52</f>
        <v>478475.528041547</v>
      </c>
      <c r="F52" s="49" t="s">
        <v>243</v>
      </c>
      <c r="G52" s="48">
        <f>G$77*$B52</f>
        <v>38590.3260148232</v>
      </c>
      <c r="H52" s="49">
        <f>H$57*$C52</f>
        <v>425311.580481375</v>
      </c>
      <c r="I52" s="49" t="s">
        <v>243</v>
      </c>
      <c r="J52" s="48">
        <f>J$77*$B52</f>
        <v>51686.5904994917</v>
      </c>
      <c r="K52" s="49">
        <f>K$57*$C52</f>
        <v>451893.554261461</v>
      </c>
      <c r="L52" s="49" t="s">
        <v>243</v>
      </c>
      <c r="M52" s="48">
        <f>M$77*$B52</f>
        <v>38590.3260148232</v>
      </c>
      <c r="N52" s="49">
        <f>N$57*$C52</f>
        <v>239237.764020774</v>
      </c>
      <c r="O52" s="49" t="s">
        <v>243</v>
      </c>
      <c r="P52" s="48">
        <f>P$77*$B52</f>
        <v>2619.2528969337</v>
      </c>
      <c r="Q52" s="49">
        <f>Q$57*$C52</f>
        <v>12707.2467458323</v>
      </c>
      <c r="R52" s="49" t="s">
        <v>243</v>
      </c>
    </row>
    <row r="53" ht="12.75" customHeight="1" spans="1:18" x14ac:dyDescent="0.25">
      <c r="A53" s="18">
        <f>A54+1</f>
        <v>2017</v>
      </c>
      <c r="B53" s="79">
        <f>'CPI-U &amp; C-CPI-U Calcs'!$P19</f>
        <v>1.71782616519705</v>
      </c>
      <c r="C53" s="79">
        <f>'CPI-U &amp; C-CPI-U Calcs'!$H19</f>
        <v>1.04602064509625</v>
      </c>
      <c r="D53" s="44">
        <f>D$77*$B53</f>
        <v>75927.9165017095</v>
      </c>
      <c r="E53" s="45">
        <f>E$57*$C53</f>
        <v>470709.290293313</v>
      </c>
      <c r="F53" s="45" t="s">
        <v>243</v>
      </c>
      <c r="G53" s="44">
        <f>G$77*$B53</f>
        <v>37963.9582508548</v>
      </c>
      <c r="H53" s="45">
        <f>H$57*$C53</f>
        <v>418408.2580385</v>
      </c>
      <c r="I53" s="45" t="s">
        <v>243</v>
      </c>
      <c r="J53" s="44">
        <f>J$77*$B53</f>
        <v>50847.6544898326</v>
      </c>
      <c r="K53" s="45">
        <f>K$57*$C53</f>
        <v>444558.774165907</v>
      </c>
      <c r="L53" s="45" t="s">
        <v>243</v>
      </c>
      <c r="M53" s="44">
        <f>M$77*$B53</f>
        <v>37963.9582508548</v>
      </c>
      <c r="N53" s="45">
        <f>N$57*$C53</f>
        <v>235354.645146656</v>
      </c>
      <c r="O53" s="45" t="s">
        <v>243</v>
      </c>
      <c r="P53" s="44">
        <f>P$77*$B53</f>
        <v>2576.73924779557</v>
      </c>
      <c r="Q53" s="45">
        <f>Q$57*$C53</f>
        <v>12500.9927295453</v>
      </c>
      <c r="R53" s="45" t="s">
        <v>243</v>
      </c>
    </row>
    <row r="54" ht="12.75" customHeight="1" spans="1:18" x14ac:dyDescent="0.25">
      <c r="A54" s="18">
        <f>A55+1</f>
        <v>2016</v>
      </c>
      <c r="B54" s="79">
        <f>'CPI-U &amp; C-CPI-U Calcs'!$P20</f>
        <v>1.70414912122848</v>
      </c>
      <c r="C54" s="79">
        <f>'CPI-U &amp; C-CPI-U Calcs'!$H20</f>
        <v>1.03769240406415</v>
      </c>
      <c r="D54" s="44">
        <f>D$77*$B54</f>
        <v>75323.3911582988</v>
      </c>
      <c r="E54" s="45">
        <f>E$57*$C54</f>
        <v>466961.581828867</v>
      </c>
      <c r="F54" s="45" t="s">
        <v>243</v>
      </c>
      <c r="G54" s="44">
        <f>G$77*$B54</f>
        <v>37661.6955791494</v>
      </c>
      <c r="H54" s="45">
        <f>H$57*$C54</f>
        <v>415076.96162566</v>
      </c>
      <c r="I54" s="45" t="s">
        <v>243</v>
      </c>
      <c r="J54" s="44">
        <f>J$77*$B54</f>
        <v>50442.813988363</v>
      </c>
      <c r="K54" s="45">
        <f>K$57*$C54</f>
        <v>441019.271727264</v>
      </c>
      <c r="L54" s="45" t="s">
        <v>243</v>
      </c>
      <c r="M54" s="44">
        <f>M$77*$B54</f>
        <v>37661.6955791494</v>
      </c>
      <c r="N54" s="45">
        <f>N$57*$C54</f>
        <v>233480.790914434</v>
      </c>
      <c r="O54" s="45" t="s">
        <v>243</v>
      </c>
      <c r="P54" s="44">
        <f>P$77*$B54</f>
        <v>2556.22368184272</v>
      </c>
      <c r="Q54" s="45">
        <f>Q$57*$C54</f>
        <v>12401.4619209707</v>
      </c>
      <c r="R54" s="45" t="s">
        <v>243</v>
      </c>
    </row>
    <row r="55" ht="12.75" customHeight="1" spans="1:18" x14ac:dyDescent="0.25">
      <c r="A55" s="18">
        <f>A56+1</f>
        <v>2015</v>
      </c>
      <c r="B55" s="79">
        <f>'CPI-U &amp; C-CPI-U Calcs'!$P21</f>
        <v>1.69649091236279</v>
      </c>
      <c r="C55" s="79">
        <f>'CPI-U &amp; C-CPI-U Calcs'!$H21</f>
        <v>1.0330291588882</v>
      </c>
      <c r="D55" s="44">
        <f>D$77*$B55</f>
        <v>74984.8983264351</v>
      </c>
      <c r="E55" s="45">
        <f>E$57*$C55</f>
        <v>464863.12149969</v>
      </c>
      <c r="F55" s="45" t="s">
        <v>243</v>
      </c>
      <c r="G55" s="44">
        <f>G$77*$B55</f>
        <v>37492.4491632176</v>
      </c>
      <c r="H55" s="45">
        <f>H$57*$C55</f>
        <v>413211.66355528</v>
      </c>
      <c r="I55" s="45" t="s">
        <v>243</v>
      </c>
      <c r="J55" s="44">
        <f>J$77*$B55</f>
        <v>50216.1310059384</v>
      </c>
      <c r="K55" s="45">
        <f>K$57*$C55</f>
        <v>439037.392527485</v>
      </c>
      <c r="L55" s="45" t="s">
        <v>243</v>
      </c>
      <c r="M55" s="44">
        <f>M$77*$B55</f>
        <v>37492.4491632176</v>
      </c>
      <c r="N55" s="45">
        <f>N$57*$C55</f>
        <v>232431.560749845</v>
      </c>
      <c r="O55" s="45" t="s">
        <v>243</v>
      </c>
      <c r="P55" s="44">
        <f>P$77*$B55</f>
        <v>2544.73636854418</v>
      </c>
      <c r="Q55" s="45">
        <f>Q$57*$C55</f>
        <v>12345.7314778729</v>
      </c>
      <c r="R55" s="45" t="s">
        <v>243</v>
      </c>
    </row>
    <row r="56" ht="12.75" customHeight="1" spans="1:18" x14ac:dyDescent="0.25">
      <c r="A56" s="18">
        <f>A57+1</f>
        <v>2014</v>
      </c>
      <c r="B56" s="79">
        <f>'CPI-U &amp; C-CPI-U Calcs'!$P22</f>
        <v>1.67009657489053</v>
      </c>
      <c r="C56" s="79">
        <f>'CPI-U &amp; C-CPI-U Calcs'!$H22</f>
        <v>1.01695708915904</v>
      </c>
      <c r="D56" s="44">
        <f>D$77*$B56</f>
        <v>73818.2686101613</v>
      </c>
      <c r="E56" s="45">
        <f>E$57*$C56</f>
        <v>457630.690121569</v>
      </c>
      <c r="F56" s="45" t="s">
        <v>243</v>
      </c>
      <c r="G56" s="44">
        <f>G$77*$B56</f>
        <v>36909.1343050807</v>
      </c>
      <c r="H56" s="45">
        <f>H$57*$C56</f>
        <v>406782.835663617</v>
      </c>
      <c r="I56" s="45" t="s">
        <v>243</v>
      </c>
      <c r="J56" s="44">
        <f>J$77*$B56</f>
        <v>49434.8586167596</v>
      </c>
      <c r="K56" s="45">
        <f>K$57*$C56</f>
        <v>432206.762892593</v>
      </c>
      <c r="L56" s="45" t="s">
        <v>243</v>
      </c>
      <c r="M56" s="44">
        <f>M$77*$B56</f>
        <v>36909.1343050807</v>
      </c>
      <c r="N56" s="45">
        <f>N$57*$C56</f>
        <v>228815.345060784</v>
      </c>
      <c r="O56" s="45" t="s">
        <v>243</v>
      </c>
      <c r="P56" s="44">
        <f>P$77*$B56</f>
        <v>2505.14486233579</v>
      </c>
      <c r="Q56" s="45">
        <f>Q$57*$C56</f>
        <v>12153.6541725397</v>
      </c>
      <c r="R56" s="45" t="s">
        <v>243</v>
      </c>
    </row>
    <row r="57" ht="12.75" customHeight="1" spans="1:18" x14ac:dyDescent="0.25">
      <c r="A57" s="18">
        <v>2013</v>
      </c>
      <c r="B57" s="79">
        <f>'CPI-U &amp; C-CPI-U Calcs'!$P23</f>
        <v>1.64224881530802</v>
      </c>
      <c r="C57" s="96">
        <f>'CPI-U &amp; C-CPI-U Calcs'!$H23</f>
        <v>1</v>
      </c>
      <c r="D57" s="44">
        <f>D$77*$B57</f>
        <v>72587.3976366145</v>
      </c>
      <c r="E57" s="88">
        <v>450000</v>
      </c>
      <c r="F57" s="88" t="s">
        <v>243</v>
      </c>
      <c r="G57" s="44">
        <f>G$77*$B57</f>
        <v>36293.6988183072</v>
      </c>
      <c r="H57" s="88">
        <v>400000</v>
      </c>
      <c r="I57" s="88" t="s">
        <v>243</v>
      </c>
      <c r="J57" s="44">
        <f>J$77*$B57</f>
        <v>48610.5649331174</v>
      </c>
      <c r="K57" s="88">
        <v>425000</v>
      </c>
      <c r="L57" s="88" t="s">
        <v>243</v>
      </c>
      <c r="M57" s="44">
        <f>M$77*$B57</f>
        <v>36293.6988183072</v>
      </c>
      <c r="N57" s="88">
        <v>225000</v>
      </c>
      <c r="O57" s="88" t="s">
        <v>243</v>
      </c>
      <c r="P57" s="44">
        <f>P$77*$B57</f>
        <v>2463.37322296203</v>
      </c>
      <c r="Q57" s="88">
        <v>11951</v>
      </c>
      <c r="R57" s="88" t="s">
        <v>243</v>
      </c>
    </row>
    <row r="58" ht="13.5" customHeight="1" spans="1:17" x14ac:dyDescent="0.25">
      <c r="A58" s="18">
        <f>A59+1</f>
        <v>2012</v>
      </c>
      <c r="B58" s="79">
        <f>'CPI-U &amp; C-CPI-U Calcs'!$P24</f>
        <v>1.60109771459421</v>
      </c>
      <c r="D58" s="44">
        <f>D$77*$B58</f>
        <v>70768.5189850639</v>
      </c>
      <c r="E58" s="88"/>
      <c r="F58" s="88"/>
      <c r="G58" s="44">
        <f>G$77*$B58</f>
        <v>35384.2594925319</v>
      </c>
      <c r="H58" s="88"/>
      <c r="I58" s="89"/>
      <c r="J58" s="44">
        <f>J$77*$B58</f>
        <v>47392.4923519885</v>
      </c>
      <c r="K58" s="88"/>
      <c r="L58" s="88"/>
      <c r="M58" s="44">
        <f>M$77*$B58</f>
        <v>35384.2594925319</v>
      </c>
      <c r="N58" s="88"/>
      <c r="P58" s="44">
        <f>P$77*$B58</f>
        <v>2401.64657189131</v>
      </c>
      <c r="Q58" s="180" t="s">
        <v>278</v>
      </c>
    </row>
    <row r="59" ht="12.75" customHeight="1" spans="1:16" x14ac:dyDescent="0.25">
      <c r="A59" s="18">
        <f>A60+1</f>
        <v>2011</v>
      </c>
      <c r="B59" s="79">
        <f>'CPI-U &amp; C-CPI-U Calcs'!$P25</f>
        <v>1.56316897606622</v>
      </c>
      <c r="D59" s="44">
        <f>D$77*$B59</f>
        <v>69092.068742127</v>
      </c>
      <c r="E59" s="88"/>
      <c r="F59" s="88"/>
      <c r="G59" s="44">
        <f>G$77*$B59</f>
        <v>34546.0343710635</v>
      </c>
      <c r="H59" s="88"/>
      <c r="I59" s="89"/>
      <c r="J59" s="44">
        <f>J$77*$B59</f>
        <v>46269.8016915602</v>
      </c>
      <c r="K59" s="88"/>
      <c r="L59" s="88"/>
      <c r="M59" s="44">
        <f>M$77*$B59</f>
        <v>34546.0343710635</v>
      </c>
      <c r="N59" s="88"/>
      <c r="P59" s="44">
        <f>P$77*$B59</f>
        <v>2344.75346409933</v>
      </c>
    </row>
    <row r="60" ht="12.75" customHeight="1" spans="1:17" x14ac:dyDescent="0.25">
      <c r="A60" s="18">
        <f>A61+1</f>
        <v>2010</v>
      </c>
      <c r="B60" s="79">
        <f>'CPI-U &amp; C-CPI-U Calcs'!$P26</f>
        <v>1.54041629176414</v>
      </c>
      <c r="D60" s="44">
        <f>D$77*$B60</f>
        <v>68086.400095975</v>
      </c>
      <c r="E60" s="88"/>
      <c r="F60" s="88"/>
      <c r="G60" s="44">
        <f>G$77*$B60</f>
        <v>34043.2000479875</v>
      </c>
      <c r="H60" s="88"/>
      <c r="I60" s="89"/>
      <c r="J60" s="44">
        <f>J$77*$B60</f>
        <v>45596.3222362186</v>
      </c>
      <c r="K60" s="88"/>
      <c r="L60" s="88"/>
      <c r="M60" s="44">
        <f>M$77*$B60</f>
        <v>34043.2000479875</v>
      </c>
      <c r="N60" s="88"/>
      <c r="P60" s="44">
        <f>P$77*$B60</f>
        <v>2310.62443764621</v>
      </c>
      <c r="Q60" s="88"/>
    </row>
    <row r="61" ht="12.75" customHeight="1" spans="1:17" x14ac:dyDescent="0.25">
      <c r="A61" s="18">
        <f>A62+1</f>
        <v>2009</v>
      </c>
      <c r="B61" s="79">
        <f>'CPI-U &amp; C-CPI-U Calcs'!$P27</f>
        <v>1.5375562353788</v>
      </c>
      <c r="C61" s="55"/>
      <c r="D61" s="44">
        <f>D$77*$B61</f>
        <v>67959.985603743</v>
      </c>
      <c r="E61" s="88"/>
      <c r="F61" s="88"/>
      <c r="G61" s="44">
        <f>G$77*$B61</f>
        <v>33979.9928018715</v>
      </c>
      <c r="H61" s="88"/>
      <c r="I61" s="89"/>
      <c r="J61" s="44">
        <f>J$77*$B61</f>
        <v>45511.6645672125</v>
      </c>
      <c r="K61" s="88"/>
      <c r="L61" s="88"/>
      <c r="M61" s="44">
        <f>M$77*$B61</f>
        <v>33979.9928018715</v>
      </c>
      <c r="N61" s="88"/>
      <c r="P61" s="44">
        <f>P$77*$B61</f>
        <v>2306.3343530682</v>
      </c>
      <c r="Q61" s="88"/>
    </row>
    <row r="62" ht="12.75" customHeight="1" spans="1:17" x14ac:dyDescent="0.25">
      <c r="A62" s="18">
        <f>A63+1</f>
        <v>2008</v>
      </c>
      <c r="B62" s="79">
        <f>'CPI-U &amp; C-CPI-U Calcs'!$P28</f>
        <v>1.47469857836962</v>
      </c>
      <c r="D62" s="44">
        <f>D$77*$B62</f>
        <v>65181.6771639374</v>
      </c>
      <c r="E62" s="88"/>
      <c r="F62" s="88"/>
      <c r="G62" s="44">
        <f>G$77*$B62</f>
        <v>32590.8385819687</v>
      </c>
      <c r="H62" s="88"/>
      <c r="I62" s="89"/>
      <c r="J62" s="44">
        <f>J$77*$B62</f>
        <v>43651.0779197409</v>
      </c>
      <c r="K62" s="88"/>
      <c r="L62" s="88"/>
      <c r="M62" s="44">
        <f>M$77*$B62</f>
        <v>32590.8385819687</v>
      </c>
      <c r="N62" s="88"/>
      <c r="P62" s="44">
        <f>P$77*$B62</f>
        <v>2212.04786755444</v>
      </c>
      <c r="Q62" s="88"/>
    </row>
    <row r="63" ht="12.75" customHeight="1" spans="1:17" x14ac:dyDescent="0.25">
      <c r="A63" s="18">
        <f>A64+1</f>
        <v>2007</v>
      </c>
      <c r="B63" s="79">
        <f>'CPI-U &amp; C-CPI-U Calcs'!$P29</f>
        <v>1.44172515146062</v>
      </c>
      <c r="D63" s="44">
        <f>D$77*$B63</f>
        <v>63724.2516945594</v>
      </c>
      <c r="E63" s="88"/>
      <c r="F63" s="88"/>
      <c r="G63" s="44">
        <f>G$77*$B63</f>
        <v>31862.1258472797</v>
      </c>
      <c r="H63" s="88"/>
      <c r="I63" s="89"/>
      <c r="J63" s="44">
        <f>J$77*$B63</f>
        <v>42675.0644832344</v>
      </c>
      <c r="K63" s="88"/>
      <c r="L63" s="88"/>
      <c r="M63" s="44">
        <f>M$77*$B63</f>
        <v>31862.1258472797</v>
      </c>
      <c r="N63" s="88"/>
      <c r="P63" s="44">
        <f>P$77*$B63</f>
        <v>2162.58772719093</v>
      </c>
      <c r="Q63" s="88"/>
    </row>
    <row r="64" ht="12.75" customHeight="1" spans="1:17" x14ac:dyDescent="0.25">
      <c r="A64" s="18">
        <f>A65+1</f>
        <v>2006</v>
      </c>
      <c r="B64" s="79">
        <f>'CPI-U &amp; C-CPI-U Calcs'!$P30</f>
        <v>1.387559234599</v>
      </c>
      <c r="D64" s="44">
        <f>D$77*$B64</f>
        <v>61330.118169276</v>
      </c>
      <c r="E64" s="88"/>
      <c r="F64" s="88"/>
      <c r="G64" s="44">
        <f>G$77*$B64</f>
        <v>30665.059084638</v>
      </c>
      <c r="H64" s="88"/>
      <c r="I64" s="89"/>
      <c r="J64" s="44">
        <f>J$77*$B64</f>
        <v>41071.7533441305</v>
      </c>
      <c r="K64" s="88"/>
      <c r="L64" s="88"/>
      <c r="M64" s="44">
        <f>M$77*$B64</f>
        <v>30665.059084638</v>
      </c>
      <c r="N64" s="88"/>
      <c r="P64" s="44">
        <f>P$77*$B64</f>
        <v>2081.33885189851</v>
      </c>
      <c r="Q64" s="88"/>
    </row>
    <row r="65" ht="12.75" customHeight="1" spans="1:17" x14ac:dyDescent="0.25">
      <c r="A65" s="18">
        <f>A66+1</f>
        <v>2005</v>
      </c>
      <c r="B65" s="79">
        <f>'CPI-U &amp; C-CPI-U Calcs'!$P31</f>
        <v>1.34575010497271</v>
      </c>
      <c r="D65" s="44">
        <f>D$77*$B65</f>
        <v>59482.1546397937</v>
      </c>
      <c r="E65" s="88"/>
      <c r="F65" s="88"/>
      <c r="G65" s="44">
        <f>G$77*$B65</f>
        <v>29741.0773198968</v>
      </c>
      <c r="H65" s="88"/>
      <c r="I65" s="89"/>
      <c r="J65" s="44">
        <f>J$77*$B65</f>
        <v>39834.2031071921</v>
      </c>
      <c r="K65" s="88"/>
      <c r="L65" s="88"/>
      <c r="M65" s="44">
        <f>M$77*$B65</f>
        <v>29741.0773198968</v>
      </c>
      <c r="N65" s="88"/>
      <c r="P65" s="44">
        <f>P$77*$B65</f>
        <v>2018.62515745906</v>
      </c>
      <c r="Q65" s="88"/>
    </row>
    <row r="66" ht="12.75" customHeight="1" spans="1:17" x14ac:dyDescent="0.25">
      <c r="A66" s="18">
        <f>A67+1</f>
        <v>2004</v>
      </c>
      <c r="B66" s="79">
        <f>'CPI-U &amp; C-CPI-U Calcs'!$P32</f>
        <v>1.31545798092496</v>
      </c>
      <c r="D66" s="44">
        <f>D$77*$B66</f>
        <v>58143.2427568832</v>
      </c>
      <c r="E66" s="88"/>
      <c r="F66" s="88"/>
      <c r="G66" s="44">
        <f>G$77*$B66</f>
        <v>29071.6213784416</v>
      </c>
      <c r="H66" s="88"/>
      <c r="I66" s="89"/>
      <c r="J66" s="44">
        <f>J$77*$B66</f>
        <v>38937.5562353788</v>
      </c>
      <c r="K66" s="88"/>
      <c r="L66" s="88"/>
      <c r="M66" s="44">
        <f>M$77*$B66</f>
        <v>29071.6213784416</v>
      </c>
      <c r="N66" s="88"/>
      <c r="P66" s="44">
        <f>P$77*$B66</f>
        <v>1973.18697138744</v>
      </c>
      <c r="Q66" s="88"/>
    </row>
    <row r="67" ht="12.75" customHeight="1" spans="1:17" x14ac:dyDescent="0.25">
      <c r="A67" s="18">
        <f>A68+1</f>
        <v>2003</v>
      </c>
      <c r="B67" s="79">
        <f>'CPI-U &amp; C-CPI-U Calcs'!$P33</f>
        <v>1.28612560734209</v>
      </c>
      <c r="D67" s="44">
        <f>D$77*$B67</f>
        <v>56846.7518445204</v>
      </c>
      <c r="E67" s="88"/>
      <c r="F67" s="88"/>
      <c r="G67" s="44">
        <f>G$77*$B67</f>
        <v>28423.3759222602</v>
      </c>
      <c r="H67" s="88"/>
      <c r="I67" s="89"/>
      <c r="J67" s="44">
        <f>J$77*$B67</f>
        <v>38069.3179773259</v>
      </c>
      <c r="K67" s="88"/>
      <c r="L67" s="88"/>
      <c r="M67" s="44">
        <f>M$77*$B67</f>
        <v>28423.3759222602</v>
      </c>
      <c r="N67" s="88"/>
      <c r="P67" s="44">
        <f>P$77*$B67</f>
        <v>1929.18841101314</v>
      </c>
      <c r="Q67" s="88"/>
    </row>
    <row r="68" ht="12.75" customHeight="1" spans="1:17" x14ac:dyDescent="0.25">
      <c r="A68" s="18">
        <f>A69+1</f>
        <v>2002</v>
      </c>
      <c r="B68" s="79">
        <f>'CPI-U &amp; C-CPI-U Calcs'!$P34</f>
        <v>1.26597084757963</v>
      </c>
      <c r="D68" s="44">
        <f>D$77*$B68</f>
        <v>55955.9114630196</v>
      </c>
      <c r="E68" s="88"/>
      <c r="F68" s="88"/>
      <c r="G68" s="44">
        <f>G$77*$B68</f>
        <v>27977.9557315098</v>
      </c>
      <c r="H68" s="88"/>
      <c r="I68" s="89"/>
      <c r="J68" s="44">
        <f>J$77*$B68</f>
        <v>37472.737088357</v>
      </c>
      <c r="K68" s="88"/>
      <c r="L68" s="88"/>
      <c r="M68" s="44">
        <f>M$77*$B68</f>
        <v>27977.9557315098</v>
      </c>
      <c r="N68" s="88"/>
      <c r="P68" s="44">
        <f>P$77*$B68</f>
        <v>1898.95627136944</v>
      </c>
      <c r="Q68" s="88"/>
    </row>
    <row r="69" ht="12.75" customHeight="1" spans="1:17" x14ac:dyDescent="0.25">
      <c r="A69" s="18">
        <f>A70+1</f>
        <v>2001</v>
      </c>
      <c r="B69" s="79">
        <f>'CPI-U &amp; C-CPI-U Calcs'!$P35</f>
        <v>1.22566132805471</v>
      </c>
      <c r="D69" s="44">
        <f>D$77*$B69</f>
        <v>54174.230700018</v>
      </c>
      <c r="E69" s="88"/>
      <c r="F69" s="88"/>
      <c r="G69" s="44">
        <f>G$77*$B69</f>
        <v>27087.115350009</v>
      </c>
      <c r="H69" s="88"/>
      <c r="I69" s="89"/>
      <c r="J69" s="44">
        <f>J$77*$B69</f>
        <v>36279.5753104193</v>
      </c>
      <c r="K69" s="88"/>
      <c r="L69" s="88"/>
      <c r="M69" s="44">
        <f>M$77*$B69</f>
        <v>27087.115350009</v>
      </c>
      <c r="N69" s="88"/>
      <c r="P69" s="44">
        <f>P$77*$B69</f>
        <v>1838.49199208206</v>
      </c>
      <c r="Q69" s="88"/>
    </row>
    <row r="70" ht="12.75" customHeight="1" spans="1:17" x14ac:dyDescent="0.25">
      <c r="A70" s="18">
        <f>A71+1</f>
        <v>2000</v>
      </c>
      <c r="B70" s="79">
        <f>'CPI-U &amp; C-CPI-U Calcs'!$P36</f>
        <v>1.18871093515686</v>
      </c>
      <c r="D70" s="44">
        <f>D$77*$B70</f>
        <v>52541.0233339332</v>
      </c>
      <c r="E70" s="88"/>
      <c r="F70" s="88"/>
      <c r="G70" s="44">
        <f>G$77*$B70</f>
        <v>26270.5116669666</v>
      </c>
      <c r="H70" s="88"/>
      <c r="I70" s="89"/>
      <c r="J70" s="44">
        <f>J$77*$B70</f>
        <v>35185.843680643</v>
      </c>
      <c r="K70" s="88"/>
      <c r="L70" s="88"/>
      <c r="M70" s="44">
        <f>M$77*$B70</f>
        <v>26270.5116669666</v>
      </c>
      <c r="N70" s="88"/>
      <c r="P70" s="44">
        <f>P$77*$B70</f>
        <v>1783.06640273529</v>
      </c>
      <c r="Q70" s="88"/>
    </row>
    <row r="71" ht="12.75" customHeight="1" spans="1:17" x14ac:dyDescent="0.25">
      <c r="A71" s="18">
        <f>A72+1</f>
        <v>1999</v>
      </c>
      <c r="B71" s="79">
        <f>'CPI-U &amp; C-CPI-U Calcs'!$P37</f>
        <v>1.16741647171735</v>
      </c>
      <c r="D71" s="44">
        <f>D$77*$B71</f>
        <v>51599.808049907</v>
      </c>
      <c r="E71" s="88"/>
      <c r="F71" s="88"/>
      <c r="G71" s="44">
        <f>G$77*$B71</f>
        <v>25799.9040249535</v>
      </c>
      <c r="H71" s="88"/>
      <c r="I71" s="89"/>
      <c r="J71" s="44">
        <f>J$77*$B71</f>
        <v>34555.5275628337</v>
      </c>
      <c r="K71" s="88"/>
      <c r="L71" s="88"/>
      <c r="M71" s="44">
        <f>M$77*$B71</f>
        <v>25799.9040249535</v>
      </c>
      <c r="N71" s="88"/>
      <c r="P71" s="44">
        <f>P$77*$B71</f>
        <v>1751.12470757603</v>
      </c>
      <c r="Q71" s="88"/>
    </row>
    <row r="72" ht="12.75" customHeight="1" spans="1:17" x14ac:dyDescent="0.25">
      <c r="A72" s="18">
        <f>A73+1</f>
        <v>1998</v>
      </c>
      <c r="B72" s="79">
        <f>'CPI-U &amp; C-CPI-U Calcs'!$P38</f>
        <v>1.14804150920761</v>
      </c>
      <c r="D72" s="44">
        <f>D$77*$B72</f>
        <v>50743.4347069762</v>
      </c>
      <c r="E72" s="88"/>
      <c r="F72" s="88"/>
      <c r="G72" s="44">
        <f>G$77*$B72</f>
        <v>25371.7173534881</v>
      </c>
      <c r="H72" s="88"/>
      <c r="I72" s="89"/>
      <c r="J72" s="44">
        <f>J$77*$B72</f>
        <v>33982.0286725451</v>
      </c>
      <c r="K72" s="88"/>
      <c r="L72" s="88"/>
      <c r="M72" s="44">
        <f>M$77*$B72</f>
        <v>25371.7173534881</v>
      </c>
      <c r="N72" s="88"/>
      <c r="P72" s="44">
        <f>P$77*$B72</f>
        <v>1722.06226381141</v>
      </c>
      <c r="Q72" s="88"/>
    </row>
    <row r="73" ht="12.75" customHeight="1" spans="1:17" x14ac:dyDescent="0.25">
      <c r="A73" s="18">
        <f>A74+1</f>
        <v>1997</v>
      </c>
      <c r="B73" s="79">
        <f>'CPI-U &amp; C-CPI-U Calcs'!$P39</f>
        <v>1.11744946313958</v>
      </c>
      <c r="D73" s="44">
        <f>D$77*$B73</f>
        <v>49391.2662707696</v>
      </c>
      <c r="E73" s="88"/>
      <c r="F73" s="88"/>
      <c r="G73" s="44">
        <f>G$77*$B73</f>
        <v>24695.6331353848</v>
      </c>
      <c r="H73" s="88"/>
      <c r="I73" s="89"/>
      <c r="J73" s="44">
        <f>J$77*$B73</f>
        <v>33076.5041089317</v>
      </c>
      <c r="K73" s="88"/>
      <c r="L73" s="88"/>
      <c r="M73" s="44">
        <f>M$77*$B73</f>
        <v>24695.6331353848</v>
      </c>
      <c r="N73" s="88"/>
      <c r="P73" s="44">
        <f>P$77*$B73</f>
        <v>1676.17419470938</v>
      </c>
      <c r="Q73" s="88"/>
    </row>
    <row r="74" ht="12.75" customHeight="1" spans="1:17" x14ac:dyDescent="0.25">
      <c r="A74" s="18">
        <f>A75+1</f>
        <v>1996</v>
      </c>
      <c r="B74" s="79">
        <f>'CPI-U &amp; C-CPI-U Calcs'!$P40</f>
        <v>1.08745726111211</v>
      </c>
      <c r="D74" s="44">
        <f>D$77*$B74</f>
        <v>48065.6109411553</v>
      </c>
      <c r="E74" s="88"/>
      <c r="F74" s="88"/>
      <c r="G74" s="44">
        <f>G$77*$B74</f>
        <v>24032.8054705777</v>
      </c>
      <c r="H74" s="88"/>
      <c r="I74" s="89"/>
      <c r="J74" s="44">
        <f>J$77*$B74</f>
        <v>32188.7349289185</v>
      </c>
      <c r="K74" s="88"/>
      <c r="L74" s="88"/>
      <c r="M74" s="44">
        <f>M$77*$B74</f>
        <v>24032.8054705777</v>
      </c>
      <c r="N74" s="88"/>
      <c r="P74" s="44">
        <f>P$77*$B74</f>
        <v>1631.18589166817</v>
      </c>
      <c r="Q74" s="88"/>
    </row>
    <row r="75" ht="12.75" customHeight="1" spans="1:17" x14ac:dyDescent="0.25">
      <c r="A75" s="18">
        <f>A76+1</f>
        <v>1995</v>
      </c>
      <c r="B75" s="79">
        <f>'CPI-U &amp; C-CPI-U Calcs'!$P41</f>
        <v>1.05740507468058</v>
      </c>
      <c r="D75" s="44">
        <f>D$77*$B75</f>
        <v>46737.3043008818</v>
      </c>
      <c r="E75" s="88"/>
      <c r="F75" s="88"/>
      <c r="G75" s="44">
        <f>G$77*$B75</f>
        <v>23368.6521504409</v>
      </c>
      <c r="H75" s="88"/>
      <c r="I75" s="89"/>
      <c r="J75" s="44">
        <f>J$77*$B75</f>
        <v>31299.1902105453</v>
      </c>
      <c r="K75" s="88"/>
      <c r="L75" s="88"/>
      <c r="M75" s="44">
        <f>M$77*$B75</f>
        <v>23368.6521504409</v>
      </c>
      <c r="N75" s="88"/>
      <c r="P75" s="44">
        <f>P$77*$B75</f>
        <v>1586.10761202087</v>
      </c>
      <c r="Q75" s="88"/>
    </row>
    <row r="76" ht="12.75" customHeight="1" spans="1:17" x14ac:dyDescent="0.25">
      <c r="A76" s="18">
        <f>A77+1</f>
        <v>1994</v>
      </c>
      <c r="B76" s="79">
        <f>'CPI-U &amp; C-CPI-U Calcs'!$P42</f>
        <v>1.03059204606802</v>
      </c>
      <c r="D76" s="44">
        <f>D$77*$B76</f>
        <v>45552.1684362066</v>
      </c>
      <c r="E76" s="88"/>
      <c r="F76" s="88"/>
      <c r="G76" s="44">
        <f>G$77*$B76</f>
        <v>22776.0842181033</v>
      </c>
      <c r="H76" s="88"/>
      <c r="I76" s="89"/>
      <c r="J76" s="44">
        <f>J$77*$B76</f>
        <v>30505.5245636135</v>
      </c>
      <c r="K76" s="88"/>
      <c r="L76" s="88"/>
      <c r="M76" s="44">
        <f>M$77*$B76</f>
        <v>22776.0842181033</v>
      </c>
      <c r="N76" s="88"/>
      <c r="P76" s="44">
        <f>P$77*$B76</f>
        <v>1545.88806910203</v>
      </c>
      <c r="Q76" s="88"/>
    </row>
    <row r="77" ht="12.75" customHeight="1" spans="1:16" x14ac:dyDescent="0.25">
      <c r="A77" s="18">
        <v>1993</v>
      </c>
      <c r="B77" s="86">
        <f>'CPI-U &amp; C-CPI-U Calcs'!$P43</f>
        <v>1</v>
      </c>
      <c r="D77" s="87">
        <v>44200</v>
      </c>
      <c r="E77" s="88"/>
      <c r="F77" s="88"/>
      <c r="G77" s="87">
        <v>22100</v>
      </c>
      <c r="H77" s="88"/>
      <c r="I77" s="89"/>
      <c r="J77" s="87">
        <v>29600</v>
      </c>
      <c r="K77" s="89"/>
      <c r="L77" s="88"/>
      <c r="M77" s="87">
        <v>22100</v>
      </c>
      <c r="P77" s="87">
        <v>1500</v>
      </c>
    </row>
  </sheetData>
  <pageMargins left="0.75" right="0.75" top="1" bottom="1" header="0.511811023622047" footer="0.511811023622047"/>
  <pageSetup paperSize="1" orientation="landscape" horizontalDpi="300" verticalDpi="300" scale="94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8.832031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workbookViewId="0" zoomScale="90" zoomScaleNormal="90" view="normal">
      <selection activeCell="E72" sqref="E72"/>
    </sheetView>
  </sheetViews>
  <sheetFormatPr defaultRowHeight="12.75" outlineLevelRow="0" outlineLevelCol="0" x14ac:dyDescent="0" defaultColWidth="9.1640625" customHeight="1"/>
  <cols>
    <col min="1" max="1" width="14.67" style="16" customWidth="1"/>
    <col min="2" max="2" width="15.66" style="16" customWidth="1"/>
    <col min="3" max="3" width="14.83" style="16" customWidth="1"/>
    <col min="4" max="5" width="14.67" style="16" customWidth="1"/>
    <col min="6" max="8" width="12.67" style="16" customWidth="1"/>
    <col min="9" max="9" width="14.83" style="16" customWidth="1"/>
    <col min="10" max="10" width="12.67" style="16" customWidth="1"/>
    <col min="11" max="11" width="12.5" style="16" customWidth="1"/>
    <col min="12" max="12" width="12.67" style="16" customWidth="1"/>
    <col min="13" max="13" width="2.67" style="16" customWidth="1"/>
    <col min="14" max="16" width="12.67" style="16" customWidth="1"/>
    <col min="17" max="17" width="18.67" style="16" customWidth="1"/>
    <col min="18" max="30" width="12.67" style="16" customWidth="1"/>
    <col min="31" max="16384" width="9.16" style="16" customWidth="1"/>
  </cols>
  <sheetData>
    <row r="1" ht="18" customHeight="1" spans="1:1" x14ac:dyDescent="0.25">
      <c r="A1" s="14" t="s">
        <v>279</v>
      </c>
    </row>
    <row r="2" ht="12.75" customHeight="1" spans="1:1" x14ac:dyDescent="0.25">
      <c r="A2" s="16" t="s">
        <v>176</v>
      </c>
    </row>
    <row r="3" ht="12.75" customHeight="1" spans="1:1" x14ac:dyDescent="0.25">
      <c r="A3" s="16" t="s">
        <v>280</v>
      </c>
    </row>
    <row r="4" ht="12.75" customHeight="1" spans="1:1" x14ac:dyDescent="0.25">
      <c r="A4" s="21" t="s">
        <v>146</v>
      </c>
    </row>
    <row r="5" ht="12.75" customHeight="1" spans="1:1" x14ac:dyDescent="0.25">
      <c r="A5" s="20" t="s">
        <v>177</v>
      </c>
    </row>
    <row r="6" ht="12.75" customHeight="1" spans="1:2" x14ac:dyDescent="0.25">
      <c r="A6" s="75" t="s">
        <v>178</v>
      </c>
      <c r="B6" s="20" t="s">
        <v>179</v>
      </c>
    </row>
    <row r="7" ht="12.75" customHeight="1" spans="1:2" x14ac:dyDescent="0.25">
      <c r="A7" s="76" t="s">
        <v>180</v>
      </c>
      <c r="B7" s="20" t="s">
        <v>181</v>
      </c>
    </row>
    <row r="8" ht="12.75" customHeight="1" spans="1:2" x14ac:dyDescent="0.25">
      <c r="A8" s="76"/>
      <c r="B8" s="20"/>
    </row>
    <row r="9" ht="15.75" customHeight="1" spans="1:14" x14ac:dyDescent="0.25">
      <c r="A9" s="181" t="s">
        <v>281</v>
      </c>
      <c r="B9" s="20"/>
      <c r="H9" s="181" t="s">
        <v>282</v>
      </c>
      <c r="I9" s="20"/>
      <c r="N9" s="181" t="s">
        <v>283</v>
      </c>
    </row>
    <row r="10" ht="28.5" customHeight="1" spans="1:17" x14ac:dyDescent="0.25">
      <c r="A10" s="55" t="s">
        <v>6</v>
      </c>
      <c r="B10" s="182" t="s">
        <v>185</v>
      </c>
      <c r="C10" s="55" t="s">
        <v>284</v>
      </c>
      <c r="D10" s="183" t="s">
        <v>285</v>
      </c>
      <c r="E10" s="55" t="s">
        <v>286</v>
      </c>
      <c r="H10" s="55" t="s">
        <v>6</v>
      </c>
      <c r="I10" s="182" t="s">
        <v>185</v>
      </c>
      <c r="J10" s="55" t="s">
        <v>284</v>
      </c>
      <c r="K10" s="183" t="s">
        <v>285</v>
      </c>
      <c r="L10" s="55" t="s">
        <v>286</v>
      </c>
      <c r="N10" s="184" t="s">
        <v>287</v>
      </c>
      <c r="O10" s="184" t="s">
        <v>288</v>
      </c>
      <c r="P10" s="184" t="s">
        <v>289</v>
      </c>
      <c r="Q10" s="184" t="s">
        <v>290</v>
      </c>
    </row>
    <row r="11" ht="13.5" customHeight="1" spans="1:17" x14ac:dyDescent="0.25">
      <c r="A11" s="27">
        <f>A12+1</f>
        <v>2022</v>
      </c>
      <c r="B11" s="185">
        <f>'CPI-U &amp; C-CPI-U Calcs'!$J14</f>
        <v>1.20489452580761</v>
      </c>
      <c r="C11" s="42">
        <f>C$22*$B11</f>
        <v>12048945.2580761</v>
      </c>
      <c r="D11" s="186">
        <f>+ROUND(C11,-4)</f>
        <v>12050000</v>
      </c>
      <c r="E11" s="42">
        <f>((D11-1000000)*0.4)+345800</f>
        <v>4765800</v>
      </c>
      <c r="H11" s="27">
        <f>H12+1</f>
        <v>2022</v>
      </c>
      <c r="I11" s="185">
        <f>'CPI-U &amp; C-CPI-U Calcs'!$J14</f>
        <v>1.20489452580761</v>
      </c>
      <c r="J11" s="42">
        <f>J$22*$B11</f>
        <v>6024472.62903807</v>
      </c>
      <c r="K11" s="186">
        <f>+ROUND(J11,-4)</f>
        <v>6020000</v>
      </c>
      <c r="L11" s="42">
        <f>((K11-1000000)*0.4)+345800</f>
        <v>2353800</v>
      </c>
      <c r="N11" s="187">
        <v>0</v>
      </c>
      <c r="O11" s="188">
        <v>10000</v>
      </c>
      <c r="P11" s="188">
        <v>0</v>
      </c>
      <c r="Q11" s="189" t="s">
        <v>291</v>
      </c>
    </row>
    <row r="12" ht="12.75" customHeight="1" spans="1:17" x14ac:dyDescent="0.25">
      <c r="A12" s="18">
        <f>A13+1</f>
        <v>2021</v>
      </c>
      <c r="B12" s="190">
        <f>'CPI-U &amp; C-CPI-U Calcs'!$J15</f>
        <v>1.16980051049283</v>
      </c>
      <c r="C12" s="45">
        <f>C$22*$B12</f>
        <v>11698005.1049283</v>
      </c>
      <c r="D12" s="191">
        <f>+ROUND(C12,-4)</f>
        <v>11700000</v>
      </c>
      <c r="E12" s="45">
        <f>((D12-1000000)*0.4)+345800</f>
        <v>4625800</v>
      </c>
      <c r="H12" s="47">
        <f>H13+1</f>
        <v>2021</v>
      </c>
      <c r="I12" s="192">
        <f>'CPI-U &amp; C-CPI-U Calcs'!$J15</f>
        <v>1.16980051049283</v>
      </c>
      <c r="J12" s="49">
        <f>J$22*$B12</f>
        <v>5849002.55246414</v>
      </c>
      <c r="K12" s="193">
        <f>+ROUND(J12,-4)</f>
        <v>5850000</v>
      </c>
      <c r="L12" s="49">
        <f>((K12-1000000)*0.4)+345800</f>
        <v>2285800</v>
      </c>
      <c r="N12" s="194">
        <v>10000</v>
      </c>
      <c r="O12" s="188">
        <v>20000</v>
      </c>
      <c r="P12" s="188">
        <v>1800</v>
      </c>
      <c r="Q12" s="195" t="s">
        <v>292</v>
      </c>
    </row>
    <row r="13" ht="12.75" customHeight="1" spans="1:17" x14ac:dyDescent="0.25">
      <c r="A13" s="18">
        <f>A14+1</f>
        <v>2020</v>
      </c>
      <c r="B13" s="190">
        <f>'CPI-U &amp; C-CPI-U Calcs'!$J16</f>
        <v>1.1570044937502</v>
      </c>
      <c r="C13" s="45">
        <f>C$22*$B13</f>
        <v>11570044.937502</v>
      </c>
      <c r="D13" s="191">
        <f>+ROUND(C13,-4)</f>
        <v>11570000</v>
      </c>
      <c r="E13" s="45">
        <f>((D13-1000000)*0.4)+345800</f>
        <v>4573800</v>
      </c>
      <c r="H13" s="47">
        <f>H14+1</f>
        <v>2020</v>
      </c>
      <c r="I13" s="192">
        <f>'CPI-U &amp; C-CPI-U Calcs'!$J16</f>
        <v>1.1570044937502</v>
      </c>
      <c r="J13" s="49">
        <f>J$22*$B13</f>
        <v>5785022.46875101</v>
      </c>
      <c r="K13" s="193">
        <f>+ROUND(J13,-4)</f>
        <v>5790000</v>
      </c>
      <c r="L13" s="49">
        <f>((K13-1000000)*0.4)+345800</f>
        <v>2261800</v>
      </c>
      <c r="N13" s="194">
        <v>20000</v>
      </c>
      <c r="O13" s="188">
        <v>40000</v>
      </c>
      <c r="P13" s="188">
        <v>3800</v>
      </c>
      <c r="Q13" s="195" t="s">
        <v>293</v>
      </c>
    </row>
    <row r="14" ht="12.75" customHeight="1" spans="1:17" x14ac:dyDescent="0.25">
      <c r="A14" s="18">
        <f>A15+1</f>
        <v>2019</v>
      </c>
      <c r="B14" s="190">
        <f>'CPI-U &amp; C-CPI-U Calcs'!$J17</f>
        <v>1.13933370776224</v>
      </c>
      <c r="C14" s="45">
        <f>C$22*$B14</f>
        <v>11393337.0776224</v>
      </c>
      <c r="D14" s="191">
        <f>+ROUND(C14,-4)</f>
        <v>11390000</v>
      </c>
      <c r="E14" s="45">
        <f>((D14-1000000)*0.4)+345800</f>
        <v>4501800</v>
      </c>
      <c r="H14" s="47">
        <f>H15+1</f>
        <v>2019</v>
      </c>
      <c r="I14" s="192">
        <f>'CPI-U &amp; C-CPI-U Calcs'!$J17</f>
        <v>1.13933370776224</v>
      </c>
      <c r="J14" s="49">
        <f>J$22*$B14</f>
        <v>5696668.53881121</v>
      </c>
      <c r="K14" s="193">
        <f>+ROUND(J14,-4)</f>
        <v>5700000</v>
      </c>
      <c r="L14" s="49">
        <f>((K14-1000000)*0.4)+345800</f>
        <v>2225800</v>
      </c>
      <c r="N14" s="194">
        <v>40000</v>
      </c>
      <c r="O14" s="188">
        <v>60000</v>
      </c>
      <c r="P14" s="188">
        <v>8200</v>
      </c>
      <c r="Q14" s="195" t="s">
        <v>294</v>
      </c>
    </row>
    <row r="15" ht="12.75" customHeight="1" spans="1:17" x14ac:dyDescent="0.25">
      <c r="A15" s="18">
        <f>A16+1</f>
        <v>2018</v>
      </c>
      <c r="B15" s="190">
        <f>'CPI-U &amp; C-CPI-U Calcs'!$J18</f>
        <v>1.11706963526752</v>
      </c>
      <c r="C15" s="45">
        <f>C$22*$B15</f>
        <v>11170696.3526752</v>
      </c>
      <c r="D15" s="191">
        <f>+ROUND(C15,-4)</f>
        <v>11170000</v>
      </c>
      <c r="E15" s="45">
        <f>((D15-1000000)*0.4)+345800</f>
        <v>4413800</v>
      </c>
      <c r="H15" s="47">
        <f>H16+1</f>
        <v>2018</v>
      </c>
      <c r="I15" s="192">
        <f>'CPI-U &amp; C-CPI-U Calcs'!$J18</f>
        <v>1.11706963526752</v>
      </c>
      <c r="J15" s="49">
        <f>J$22*$B15</f>
        <v>5585348.17633761</v>
      </c>
      <c r="K15" s="193">
        <f>+ROUND(J15,-4)</f>
        <v>5590000</v>
      </c>
      <c r="L15" s="49">
        <f>((K15-1000000)*0.4)+345800</f>
        <v>2181800</v>
      </c>
      <c r="N15" s="194">
        <v>60000</v>
      </c>
      <c r="O15" s="188">
        <v>80000</v>
      </c>
      <c r="P15" s="188">
        <v>13000</v>
      </c>
      <c r="Q15" s="195" t="s">
        <v>295</v>
      </c>
    </row>
    <row r="16" ht="12.75" customHeight="1" spans="1:17" x14ac:dyDescent="0.25">
      <c r="A16" s="47">
        <f>A17+1</f>
        <v>2017</v>
      </c>
      <c r="B16" s="192">
        <f>'CPI-U &amp; C-CPI-U Calcs'!$J19</f>
        <v>1.09893824116189</v>
      </c>
      <c r="C16" s="49">
        <f>C$22*$B16</f>
        <v>10989382.4116189</v>
      </c>
      <c r="D16" s="193">
        <f>+ROUND(C16,-4)</f>
        <v>10990000</v>
      </c>
      <c r="E16" s="49">
        <f>((D16-1000000)*0.4)+345800</f>
        <v>4341800</v>
      </c>
      <c r="H16" s="18">
        <f>H17+1</f>
        <v>2017</v>
      </c>
      <c r="I16" s="190">
        <f>'CPI-U &amp; C-CPI-U Calcs'!$J19</f>
        <v>1.09893824116189</v>
      </c>
      <c r="J16" s="45">
        <f>J$22*$B16</f>
        <v>5494691.20580945</v>
      </c>
      <c r="K16" s="191">
        <f>+ROUND(J16,-4)</f>
        <v>5490000</v>
      </c>
      <c r="L16" s="45">
        <f>((K16-1000000)*0.4)+345800</f>
        <v>2141800</v>
      </c>
      <c r="N16" s="194">
        <v>80000</v>
      </c>
      <c r="O16" s="188">
        <v>100000</v>
      </c>
      <c r="P16" s="188">
        <v>18200</v>
      </c>
      <c r="Q16" s="195" t="s">
        <v>296</v>
      </c>
    </row>
    <row r="17" ht="12.75" customHeight="1" spans="1:17" x14ac:dyDescent="0.25">
      <c r="A17" s="47">
        <f>A18+1</f>
        <v>2016</v>
      </c>
      <c r="B17" s="192">
        <f>'CPI-U &amp; C-CPI-U Calcs'!$J20</f>
        <v>1.09018867910048</v>
      </c>
      <c r="C17" s="49">
        <f>C$22*$B17</f>
        <v>10901886.7910048</v>
      </c>
      <c r="D17" s="193">
        <f>+ROUND(C17,-4)</f>
        <v>10900000</v>
      </c>
      <c r="E17" s="49">
        <f>((D17-1000000)*0.4)+345800</f>
        <v>4305800</v>
      </c>
      <c r="H17" s="18">
        <f>H18+1</f>
        <v>2016</v>
      </c>
      <c r="I17" s="190">
        <f>'CPI-U &amp; C-CPI-U Calcs'!$J20</f>
        <v>1.09018867910048</v>
      </c>
      <c r="J17" s="45">
        <f>J$22*$B17</f>
        <v>5450943.39550239</v>
      </c>
      <c r="K17" s="191">
        <f>+ROUND(J17,-4)</f>
        <v>5450000</v>
      </c>
      <c r="L17" s="45">
        <f>((K17-1000000)*0.4)+345800</f>
        <v>2125800</v>
      </c>
      <c r="N17" s="194">
        <v>100000</v>
      </c>
      <c r="O17" s="188">
        <v>150000</v>
      </c>
      <c r="P17" s="188">
        <v>23800</v>
      </c>
      <c r="Q17" s="195" t="s">
        <v>297</v>
      </c>
    </row>
    <row r="18" ht="12.75" customHeight="1" spans="1:17" x14ac:dyDescent="0.25">
      <c r="A18" s="47">
        <f>A19+1</f>
        <v>2015</v>
      </c>
      <c r="B18" s="192">
        <f>'CPI-U &amp; C-CPI-U Calcs'!$J21</f>
        <v>1.08528952297408</v>
      </c>
      <c r="C18" s="49">
        <f>C$22*$B18</f>
        <v>10852895.2297408</v>
      </c>
      <c r="D18" s="193">
        <f>+ROUND(C18,-4)</f>
        <v>10850000</v>
      </c>
      <c r="E18" s="49">
        <f>((D18-1000000)*0.4)+345800</f>
        <v>4285800</v>
      </c>
      <c r="H18" s="18">
        <f>H19+1</f>
        <v>2015</v>
      </c>
      <c r="I18" s="190">
        <f>'CPI-U &amp; C-CPI-U Calcs'!$J21</f>
        <v>1.08528952297408</v>
      </c>
      <c r="J18" s="45">
        <f>J$22*$B18</f>
        <v>5426447.61487038</v>
      </c>
      <c r="K18" s="191">
        <f>+ROUND(J18,-4)</f>
        <v>5430000</v>
      </c>
      <c r="L18" s="45">
        <f>((K18-1000000)*0.4)+345800</f>
        <v>2117800</v>
      </c>
      <c r="N18" s="194">
        <v>150000</v>
      </c>
      <c r="O18" s="188">
        <v>250000</v>
      </c>
      <c r="P18" s="188">
        <v>38800</v>
      </c>
      <c r="Q18" s="195" t="s">
        <v>298</v>
      </c>
    </row>
    <row r="19" ht="12.75" customHeight="1" spans="1:17" x14ac:dyDescent="0.25">
      <c r="A19" s="47">
        <f>A20+1</f>
        <v>2014</v>
      </c>
      <c r="B19" s="192">
        <f>'CPI-U &amp; C-CPI-U Calcs'!$J22</f>
        <v>1.0684043762776</v>
      </c>
      <c r="C19" s="49">
        <f>C$22*$B19</f>
        <v>10684043.762776</v>
      </c>
      <c r="D19" s="193">
        <f>+ROUND(C19,-4)</f>
        <v>10680000</v>
      </c>
      <c r="E19" s="49">
        <f>((D19-1000000)*0.4)+345800</f>
        <v>4217800</v>
      </c>
      <c r="H19" s="18">
        <f>H20+1</f>
        <v>2014</v>
      </c>
      <c r="I19" s="190">
        <f>'CPI-U &amp; C-CPI-U Calcs'!$J22</f>
        <v>1.0684043762776</v>
      </c>
      <c r="J19" s="45">
        <f>J$22*$B19</f>
        <v>5342021.881388</v>
      </c>
      <c r="K19" s="191">
        <f>+ROUND(J19,-4)</f>
        <v>5340000</v>
      </c>
      <c r="L19" s="45">
        <f>((K19-1000000)*0.4)+345800</f>
        <v>2081800</v>
      </c>
      <c r="N19" s="194">
        <v>250000</v>
      </c>
      <c r="O19" s="188">
        <v>500000</v>
      </c>
      <c r="P19" s="188">
        <v>70800</v>
      </c>
      <c r="Q19" s="195" t="s">
        <v>299</v>
      </c>
    </row>
    <row r="20" ht="12.75" customHeight="1" spans="1:17" x14ac:dyDescent="0.25">
      <c r="A20" s="47">
        <f>A21+1</f>
        <v>2013</v>
      </c>
      <c r="B20" s="192">
        <f>'CPI-U &amp; C-CPI-U Calcs'!$J23</f>
        <v>1.05058943751609</v>
      </c>
      <c r="C20" s="49">
        <f>C$22*$B20</f>
        <v>10505894.3751609</v>
      </c>
      <c r="D20" s="193">
        <f>+ROUND(C20,-4)</f>
        <v>10510000</v>
      </c>
      <c r="E20" s="49">
        <f>((D20-1000000)*0.4)+345800</f>
        <v>4149800</v>
      </c>
      <c r="H20" s="18">
        <f>H21+1</f>
        <v>2013</v>
      </c>
      <c r="I20" s="190">
        <f>'CPI-U &amp; C-CPI-U Calcs'!$J23</f>
        <v>1.05058943751609</v>
      </c>
      <c r="J20" s="45">
        <f>J$22*$B20</f>
        <v>5252947.18758046</v>
      </c>
      <c r="K20" s="191">
        <f>+ROUND(J20,-4)</f>
        <v>5250000</v>
      </c>
      <c r="L20" s="45">
        <f>((K20-1000000)*0.4)+345800</f>
        <v>2045800</v>
      </c>
      <c r="N20" s="194">
        <v>500000</v>
      </c>
      <c r="O20" s="188">
        <v>750000</v>
      </c>
      <c r="P20" s="188">
        <v>155800</v>
      </c>
      <c r="Q20" s="195" t="s">
        <v>300</v>
      </c>
    </row>
    <row r="21" ht="12.75" customHeight="1" spans="1:17" x14ac:dyDescent="0.25">
      <c r="A21" s="47">
        <f>A22+1</f>
        <v>2012</v>
      </c>
      <c r="B21" s="192">
        <f>'CPI-U &amp; C-CPI-U Calcs'!$J24</f>
        <v>1.02426400415356</v>
      </c>
      <c r="C21" s="49">
        <f>C$22*$B21</f>
        <v>10242640.0415356</v>
      </c>
      <c r="D21" s="193">
        <f>+ROUND(C21,-4)</f>
        <v>10240000</v>
      </c>
      <c r="E21" s="49">
        <f>((D21-1000000)*0.4)+345800</f>
        <v>4041800</v>
      </c>
      <c r="H21" s="18">
        <f>H22+1</f>
        <v>2012</v>
      </c>
      <c r="I21" s="190">
        <f>'CPI-U &amp; C-CPI-U Calcs'!$J24</f>
        <v>1.02426400415356</v>
      </c>
      <c r="J21" s="45">
        <f>J$22*$B21</f>
        <v>5121320.02076779</v>
      </c>
      <c r="K21" s="191">
        <f>+ROUND(J21,-4)</f>
        <v>5120000</v>
      </c>
      <c r="L21" s="45">
        <f>((K21-1000000)*0.4)+345800</f>
        <v>1993800</v>
      </c>
      <c r="N21" s="194">
        <v>750000</v>
      </c>
      <c r="O21" s="188">
        <v>1000000</v>
      </c>
      <c r="P21" s="188">
        <v>248300</v>
      </c>
      <c r="Q21" s="195" t="s">
        <v>301</v>
      </c>
    </row>
    <row r="22" ht="13.5" customHeight="1" spans="1:17" x14ac:dyDescent="0.25">
      <c r="A22" s="18">
        <v>2011</v>
      </c>
      <c r="B22" s="196">
        <f>'CPI-U &amp; C-CPI-U Calcs'!$J25</f>
        <v>1</v>
      </c>
      <c r="C22" s="88">
        <v>10000000</v>
      </c>
      <c r="D22" s="197">
        <f>+TRUNC(C22/10000)*10000</f>
        <v>10000000</v>
      </c>
      <c r="E22" s="110">
        <f>((D22-1000000)*0.4)+345800</f>
        <v>3945800</v>
      </c>
      <c r="H22" s="18">
        <v>2011</v>
      </c>
      <c r="I22" s="196">
        <f>'CPI-U &amp; C-CPI-U Calcs'!$J25</f>
        <v>1</v>
      </c>
      <c r="J22" s="88">
        <v>5000000</v>
      </c>
      <c r="K22" s="197">
        <f>+TRUNC(J22/10000)*10000</f>
        <v>5000000</v>
      </c>
      <c r="L22" s="110">
        <f>((K22-1000000)*0.4)+345800</f>
        <v>1945800</v>
      </c>
      <c r="N22" s="198">
        <v>1000000</v>
      </c>
      <c r="O22" s="199" t="s">
        <v>302</v>
      </c>
      <c r="P22" s="200">
        <v>345800</v>
      </c>
      <c r="Q22" s="201" t="s">
        <v>303</v>
      </c>
    </row>
    <row r="23" ht="13.5" customHeight="1" spans="1:12" x14ac:dyDescent="0.25">
      <c r="A23" s="18"/>
      <c r="B23" s="107"/>
      <c r="C23" s="88"/>
      <c r="D23" s="89"/>
      <c r="E23" s="89"/>
      <c r="H23" s="18"/>
      <c r="I23" s="107"/>
      <c r="J23" s="88"/>
      <c r="K23" s="89"/>
      <c r="L23" s="89"/>
    </row>
    <row r="24" ht="12.75" customHeight="1" spans="1:14" x14ac:dyDescent="0.25">
      <c r="A24" s="15" t="s">
        <v>304</v>
      </c>
      <c r="B24" s="107"/>
      <c r="C24" s="88"/>
      <c r="D24" s="89"/>
      <c r="E24" s="89"/>
      <c r="H24" s="15" t="s">
        <v>304</v>
      </c>
      <c r="I24" s="107"/>
      <c r="J24" s="88"/>
      <c r="K24" s="89"/>
      <c r="L24" s="89"/>
      <c r="N24" s="202"/>
    </row>
    <row r="25" ht="12.75" customHeight="1" spans="1:14" x14ac:dyDescent="0.25">
      <c r="A25" s="15" t="s">
        <v>305</v>
      </c>
      <c r="B25" s="107"/>
      <c r="C25" s="88"/>
      <c r="D25" s="89"/>
      <c r="E25" s="89"/>
      <c r="H25" s="15" t="s">
        <v>305</v>
      </c>
      <c r="I25" s="107"/>
      <c r="J25" s="88"/>
      <c r="K25" s="89"/>
      <c r="L25" s="89"/>
      <c r="N25" s="202"/>
    </row>
    <row r="26" ht="12.75" customHeight="1" spans="1:14" x14ac:dyDescent="0.25">
      <c r="A26" s="18"/>
      <c r="B26" s="107"/>
      <c r="C26" s="88"/>
      <c r="D26" s="89"/>
      <c r="E26" s="89"/>
      <c r="N26" s="202"/>
    </row>
    <row r="27" ht="12.75" customHeight="1" spans="1:5" x14ac:dyDescent="0.25">
      <c r="A27" s="18"/>
      <c r="B27" s="107"/>
      <c r="C27" s="88"/>
      <c r="D27" s="89"/>
      <c r="E27" s="89"/>
    </row>
    <row r="28" ht="16.5" customHeight="1" spans="1:2" x14ac:dyDescent="0.25">
      <c r="A28" s="76"/>
      <c r="B28" s="20"/>
    </row>
    <row r="29" ht="15.75" customHeight="1" spans="1:1" x14ac:dyDescent="0.25">
      <c r="A29" s="181" t="s">
        <v>306</v>
      </c>
    </row>
    <row r="30" ht="15.75" customHeight="1" spans="1:6" x14ac:dyDescent="0.25">
      <c r="A30" s="91"/>
      <c r="B30" s="203"/>
      <c r="C30" s="204" t="s">
        <v>307</v>
      </c>
      <c r="D30" s="204"/>
      <c r="E30" s="205" t="s">
        <v>308</v>
      </c>
      <c r="F30" s="205"/>
    </row>
    <row r="31" ht="28.5" customHeight="1" spans="1:6" x14ac:dyDescent="0.25">
      <c r="A31" s="55" t="s">
        <v>6</v>
      </c>
      <c r="B31" s="182" t="s">
        <v>185</v>
      </c>
      <c r="C31" s="55" t="s">
        <v>284</v>
      </c>
      <c r="D31" s="55" t="s">
        <v>309</v>
      </c>
      <c r="E31" s="206" t="s">
        <v>284</v>
      </c>
      <c r="F31" s="183" t="s">
        <v>309</v>
      </c>
    </row>
    <row r="32" ht="12.75" customHeight="1" spans="1:6" x14ac:dyDescent="0.25">
      <c r="A32" s="27">
        <f>A33+1</f>
        <v>2022</v>
      </c>
      <c r="B32" s="185">
        <f>'CPI-U &amp; C-CPI-U Calcs'!$N14</f>
        <v>1.64057982840226</v>
      </c>
      <c r="C32" s="42">
        <f>C$56*$B32</f>
        <v>16405.7982840226</v>
      </c>
      <c r="D32" s="42">
        <f>+TRUNC(C32/1000)*1000</f>
        <v>16000</v>
      </c>
      <c r="E32" s="41">
        <f>E$56*$B32</f>
        <v>164057.982840226</v>
      </c>
      <c r="F32" s="186">
        <f>+TRUNC(E32/1000)*1000</f>
        <v>164000</v>
      </c>
    </row>
    <row r="33" ht="12.75" customHeight="1" spans="1:6" x14ac:dyDescent="0.25">
      <c r="A33" s="18">
        <f>A34+1</f>
        <v>2021</v>
      </c>
      <c r="B33" s="190">
        <f>'CPI-U &amp; C-CPI-U Calcs'!$N15</f>
        <v>1.5927959499051</v>
      </c>
      <c r="C33" s="45">
        <f>C$56*$B33</f>
        <v>15927.959499051</v>
      </c>
      <c r="D33" s="45">
        <f>+TRUNC(C33/1000)*1000</f>
        <v>15000</v>
      </c>
      <c r="E33" s="44">
        <f>E$56*$B33</f>
        <v>159279.59499051</v>
      </c>
      <c r="F33" s="191">
        <f>+TRUNC(E33/1000)*1000</f>
        <v>159000</v>
      </c>
    </row>
    <row r="34" ht="12.75" customHeight="1" spans="1:6" x14ac:dyDescent="0.25">
      <c r="A34" s="18">
        <f>A35+1</f>
        <v>2020</v>
      </c>
      <c r="B34" s="190">
        <f>'CPI-U &amp; C-CPI-U Calcs'!$N16</f>
        <v>1.57537294191378</v>
      </c>
      <c r="C34" s="45">
        <f>C$56*$B34</f>
        <v>15753.7294191378</v>
      </c>
      <c r="D34" s="45">
        <f>+TRUNC(C34/1000)*1000</f>
        <v>15000</v>
      </c>
      <c r="E34" s="44">
        <f>E$56*$B34</f>
        <v>157537.294191378</v>
      </c>
      <c r="F34" s="191">
        <f>+TRUNC(E34/1000)*1000</f>
        <v>157000</v>
      </c>
    </row>
    <row r="35" ht="12.75" customHeight="1" spans="1:6" x14ac:dyDescent="0.25">
      <c r="A35" s="18">
        <f>A36+1</f>
        <v>2019</v>
      </c>
      <c r="B35" s="190">
        <f>'CPI-U &amp; C-CPI-U Calcs'!$N17</f>
        <v>1.55131246655854</v>
      </c>
      <c r="C35" s="45">
        <f>C$56*$B35</f>
        <v>15513.1246655854</v>
      </c>
      <c r="D35" s="45">
        <f>+TRUNC(C35/1000)*1000</f>
        <v>15000</v>
      </c>
      <c r="E35" s="44">
        <f>E$56*$B35</f>
        <v>155131.246655854</v>
      </c>
      <c r="F35" s="191">
        <f>+TRUNC(E35/1000)*1000</f>
        <v>155000</v>
      </c>
    </row>
    <row r="36" ht="12.75" customHeight="1" spans="1:6" x14ac:dyDescent="0.25">
      <c r="A36" s="18">
        <f>A37+1</f>
        <v>2018</v>
      </c>
      <c r="B36" s="190">
        <f>'CPI-U &amp; C-CPI-U Calcs'!$N18</f>
        <v>1.52099778967141</v>
      </c>
      <c r="C36" s="45">
        <f>C$56*$B36</f>
        <v>15209.9778967141</v>
      </c>
      <c r="D36" s="45">
        <f>+TRUNC(C36/1000)*1000</f>
        <v>15000</v>
      </c>
      <c r="E36" s="44">
        <f>E$56*$B36</f>
        <v>152099.778967141</v>
      </c>
      <c r="F36" s="191">
        <f>+TRUNC(E36/1000)*1000</f>
        <v>152000</v>
      </c>
    </row>
    <row r="37" ht="12.75" customHeight="1" spans="1:6" x14ac:dyDescent="0.25">
      <c r="A37" s="18">
        <f>A38+1</f>
        <v>2017</v>
      </c>
      <c r="B37" s="190">
        <f>'CPI-U &amp; C-CPI-U Calcs'!$N19</f>
        <v>1.49631015204556</v>
      </c>
      <c r="C37" s="45">
        <f>C$56*$B37</f>
        <v>14963.1015204556</v>
      </c>
      <c r="D37" s="45">
        <f>+TRUNC(C37/1000)*1000</f>
        <v>14000</v>
      </c>
      <c r="E37" s="44">
        <f>E$56*$B37</f>
        <v>149631.015204556</v>
      </c>
      <c r="F37" s="191">
        <f>+TRUNC(E37/1000)*1000</f>
        <v>149000</v>
      </c>
    </row>
    <row r="38" ht="12.75" customHeight="1" spans="1:6" x14ac:dyDescent="0.25">
      <c r="A38" s="18">
        <f>A39+1</f>
        <v>2016</v>
      </c>
      <c r="B38" s="190">
        <f>'CPI-U &amp; C-CPI-U Calcs'!$N20</f>
        <v>1.48439678144104</v>
      </c>
      <c r="C38" s="45">
        <f>C$56*$B38</f>
        <v>14843.9678144104</v>
      </c>
      <c r="D38" s="45">
        <f>+TRUNC(C38/1000)*1000</f>
        <v>14000</v>
      </c>
      <c r="E38" s="44">
        <f>E$56*$B38</f>
        <v>148439.678144104</v>
      </c>
      <c r="F38" s="191">
        <f>+TRUNC(E38/1000)*1000</f>
        <v>148000</v>
      </c>
    </row>
    <row r="39" ht="12.75" customHeight="1" spans="1:6" x14ac:dyDescent="0.25">
      <c r="A39" s="18">
        <f>A40+1</f>
        <v>2015</v>
      </c>
      <c r="B39" s="190">
        <f>'CPI-U &amp; C-CPI-U Calcs'!$N21</f>
        <v>1.47772610899211</v>
      </c>
      <c r="C39" s="45">
        <f>C$56*$B39</f>
        <v>14777.2610899211</v>
      </c>
      <c r="D39" s="45">
        <f>+TRUNC(C39/1000)*1000</f>
        <v>14000</v>
      </c>
      <c r="E39" s="44">
        <f>E$56*$B39</f>
        <v>147772.610899211</v>
      </c>
      <c r="F39" s="191">
        <f>+TRUNC(E39/1000)*1000</f>
        <v>147000</v>
      </c>
    </row>
    <row r="40" ht="12.75" customHeight="1" spans="1:6" x14ac:dyDescent="0.25">
      <c r="A40" s="18">
        <f>A41+1</f>
        <v>2014</v>
      </c>
      <c r="B40" s="190">
        <f>'CPI-U &amp; C-CPI-U Calcs'!$N22</f>
        <v>1.4547353571242</v>
      </c>
      <c r="C40" s="45">
        <f>C$56*$B40</f>
        <v>14547.353571242</v>
      </c>
      <c r="D40" s="45">
        <f>+TRUNC(C40/1000)*1000</f>
        <v>14000</v>
      </c>
      <c r="E40" s="44">
        <f>E$56*$B40</f>
        <v>145473.53571242</v>
      </c>
      <c r="F40" s="191">
        <f>+TRUNC(E40/1000)*1000</f>
        <v>145000</v>
      </c>
    </row>
    <row r="41" ht="12.75" customHeight="1" spans="1:6" x14ac:dyDescent="0.25">
      <c r="A41" s="18">
        <f>A42+1</f>
        <v>2013</v>
      </c>
      <c r="B41" s="190">
        <f>'CPI-U &amp; C-CPI-U Calcs'!$N23</f>
        <v>1.4304786038978</v>
      </c>
      <c r="C41" s="45">
        <f>C$56*$B41</f>
        <v>14304.786038978</v>
      </c>
      <c r="D41" s="45">
        <f>+TRUNC(C41/1000)*1000</f>
        <v>14000</v>
      </c>
      <c r="E41" s="44">
        <f>E$56*$B41</f>
        <v>143047.86038978</v>
      </c>
      <c r="F41" s="191">
        <f>+TRUNC(E41/1000)*1000</f>
        <v>143000</v>
      </c>
    </row>
    <row r="42" ht="12.75" customHeight="1" spans="1:6" x14ac:dyDescent="0.25">
      <c r="A42" s="18">
        <f>A43+1</f>
        <v>2012</v>
      </c>
      <c r="B42" s="190">
        <f>'CPI-U &amp; C-CPI-U Calcs'!$N24</f>
        <v>1.39463399341658</v>
      </c>
      <c r="C42" s="45">
        <f>C$56*$B42</f>
        <v>13946.3399341658</v>
      </c>
      <c r="D42" s="45">
        <f>+TRUNC(C42/1000)*1000</f>
        <v>13000</v>
      </c>
      <c r="E42" s="44">
        <f>E$56*$B42</f>
        <v>139463.399341658</v>
      </c>
      <c r="F42" s="191">
        <f>+TRUNC(E42/1000)*1000</f>
        <v>139000</v>
      </c>
    </row>
    <row r="43" ht="12.75" customHeight="1" spans="1:6" x14ac:dyDescent="0.25">
      <c r="A43" s="18">
        <f>A44+1</f>
        <v>2011</v>
      </c>
      <c r="B43" s="190">
        <f>'CPI-U &amp; C-CPI-U Calcs'!$N25</f>
        <v>1.36159621714823</v>
      </c>
      <c r="C43" s="45">
        <f>C$56*$B43</f>
        <v>13615.9621714823</v>
      </c>
      <c r="D43" s="45">
        <f>+TRUNC(C43/1000)*1000</f>
        <v>13000</v>
      </c>
      <c r="E43" s="44">
        <f>E$56*$B43</f>
        <v>136159.621714823</v>
      </c>
      <c r="F43" s="191">
        <f>+TRUNC(E43/1000)*1000</f>
        <v>136000</v>
      </c>
    </row>
    <row r="44" ht="12.75" customHeight="1" spans="1:6" x14ac:dyDescent="0.25">
      <c r="A44" s="18">
        <f>A45+1</f>
        <v>2010</v>
      </c>
      <c r="B44" s="190">
        <f>'CPI-U &amp; C-CPI-U Calcs'!$N26</f>
        <v>1.34177752233659</v>
      </c>
      <c r="C44" s="45">
        <f>C$56*$B44</f>
        <v>13417.7752233659</v>
      </c>
      <c r="D44" s="45">
        <f>+TRUNC(C44/1000)*1000</f>
        <v>13000</v>
      </c>
      <c r="E44" s="44">
        <f>E$56*$B44</f>
        <v>134177.752233659</v>
      </c>
      <c r="F44" s="191">
        <f>+TRUNC(E44/1000)*1000</f>
        <v>134000</v>
      </c>
    </row>
    <row r="45" ht="12.75" customHeight="1" spans="1:6" x14ac:dyDescent="0.25">
      <c r="A45" s="18">
        <f>A46+1</f>
        <v>2009</v>
      </c>
      <c r="B45" s="190">
        <f>'CPI-U &amp; C-CPI-U Calcs'!$N27</f>
        <v>1.33928627410001</v>
      </c>
      <c r="C45" s="45">
        <f>C$56*$B45</f>
        <v>13392.8627410001</v>
      </c>
      <c r="D45" s="45">
        <f>+TRUNC(C45/1000)*1000</f>
        <v>13000</v>
      </c>
      <c r="E45" s="44">
        <f>E$56*$B45</f>
        <v>133928.627410001</v>
      </c>
      <c r="F45" s="191">
        <f>+TRUNC(E45/1000)*1000</f>
        <v>133000</v>
      </c>
    </row>
    <row r="46" ht="12.75" customHeight="1" spans="1:6" x14ac:dyDescent="0.25">
      <c r="A46" s="18">
        <f>A47+1</f>
        <v>2008</v>
      </c>
      <c r="B46" s="190">
        <f>'CPI-U &amp; C-CPI-U Calcs'!$N28</f>
        <v>1.28453419718899</v>
      </c>
      <c r="C46" s="45">
        <f>C$56*$B46</f>
        <v>12845.3419718899</v>
      </c>
      <c r="D46" s="45">
        <f>+TRUNC(C46/1000)*1000</f>
        <v>12000</v>
      </c>
      <c r="E46" s="44">
        <f>E$56*$B46</f>
        <v>128453.419718899</v>
      </c>
      <c r="F46" s="191">
        <f>+TRUNC(E46/1000)*1000</f>
        <v>128000</v>
      </c>
    </row>
    <row r="47" ht="12.75" customHeight="1" spans="1:6" x14ac:dyDescent="0.25">
      <c r="A47" s="18">
        <f>A48+1</f>
        <v>2007</v>
      </c>
      <c r="B47" s="190">
        <f>'CPI-U &amp; C-CPI-U Calcs'!$N29</f>
        <v>1.25581273838759</v>
      </c>
      <c r="C47" s="45">
        <f>C$56*$B47</f>
        <v>12558.1273838759</v>
      </c>
      <c r="D47" s="45">
        <f>+TRUNC(C47/1000)*1000</f>
        <v>12000</v>
      </c>
      <c r="E47" s="44">
        <f>E$56*$B47</f>
        <v>125581.273838759</v>
      </c>
      <c r="F47" s="191">
        <f>+TRUNC(E47/1000)*1000</f>
        <v>125000</v>
      </c>
    </row>
    <row r="48" ht="12.75" customHeight="1" spans="1:6" x14ac:dyDescent="0.25">
      <c r="A48" s="18">
        <f>A49+1</f>
        <v>2006</v>
      </c>
      <c r="B48" s="190">
        <f>'CPI-U &amp; C-CPI-U Calcs'!$N30</f>
        <v>1.20863158994723</v>
      </c>
      <c r="C48" s="45">
        <f>C$56*$B48</f>
        <v>12086.3158994723</v>
      </c>
      <c r="D48" s="45">
        <f>+TRUNC(C48/1000)*1000</f>
        <v>12000</v>
      </c>
      <c r="E48" s="44">
        <f>E$56*$B48</f>
        <v>120863.158994723</v>
      </c>
      <c r="F48" s="191">
        <f>+TRUNC(E48/1000)*1000</f>
        <v>120000</v>
      </c>
    </row>
    <row r="49" ht="12.75" customHeight="1" spans="1:6" x14ac:dyDescent="0.25">
      <c r="A49" s="18">
        <f>A50+1</f>
        <v>2005</v>
      </c>
      <c r="B49" s="190">
        <f>'CPI-U &amp; C-CPI-U Calcs'!$N31</f>
        <v>1.172213804274</v>
      </c>
      <c r="C49" s="45">
        <f>C$56*$B49</f>
        <v>11722.13804274</v>
      </c>
      <c r="D49" s="45">
        <f>+TRUNC(C49/1000)*1000</f>
        <v>11000</v>
      </c>
      <c r="E49" s="44">
        <f>E$56*$B49</f>
        <v>117221.3804274</v>
      </c>
      <c r="F49" s="191">
        <f>+TRUNC(E49/1000)*1000</f>
        <v>117000</v>
      </c>
    </row>
    <row r="50" ht="12.75" customHeight="1" spans="1:6" x14ac:dyDescent="0.25">
      <c r="A50" s="18">
        <f>A51+1</f>
        <v>2004</v>
      </c>
      <c r="B50" s="190">
        <f>'CPI-U &amp; C-CPI-U Calcs'!$N32</f>
        <v>1.14582789069439</v>
      </c>
      <c r="C50" s="45">
        <f>C$56*$B50</f>
        <v>11458.2789069439</v>
      </c>
      <c r="D50" s="45">
        <f>+TRUNC(C50/1000)*1000</f>
        <v>11000</v>
      </c>
      <c r="E50" s="44">
        <f>E$56*$B50</f>
        <v>114582.789069439</v>
      </c>
      <c r="F50" s="191">
        <f>+TRUNC(E50/1000)*1000</f>
        <v>114000</v>
      </c>
    </row>
    <row r="51" ht="12.75" customHeight="1" spans="1:6" x14ac:dyDescent="0.25">
      <c r="A51" s="18">
        <f>A52+1</f>
        <v>2003</v>
      </c>
      <c r="B51" s="190">
        <f>'CPI-U &amp; C-CPI-U Calcs'!$N33</f>
        <v>1.12027796645593</v>
      </c>
      <c r="C51" s="45">
        <f>C$56*$B51</f>
        <v>11202.7796645593</v>
      </c>
      <c r="D51" s="45">
        <f>+TRUNC(C51/1000)*1000</f>
        <v>11000</v>
      </c>
      <c r="E51" s="44">
        <f>E$56*$B51</f>
        <v>112027.796645593</v>
      </c>
      <c r="F51" s="191">
        <f>+TRUNC(E51/1000)*1000</f>
        <v>112000</v>
      </c>
    </row>
    <row r="52" ht="12.75" customHeight="1" spans="1:6" x14ac:dyDescent="0.25">
      <c r="A52" s="18">
        <f>A53+1</f>
        <v>2002</v>
      </c>
      <c r="B52" s="190">
        <f>'CPI-U &amp; C-CPI-U Calcs'!$N34</f>
        <v>1.10272219029207</v>
      </c>
      <c r="C52" s="45">
        <f>C$56*$B52</f>
        <v>11027.2219029207</v>
      </c>
      <c r="D52" s="45">
        <f>+TRUNC(C52/1000)*1000</f>
        <v>11000</v>
      </c>
      <c r="E52" s="44">
        <f>E$56*$B52</f>
        <v>110272.219029207</v>
      </c>
      <c r="F52" s="191">
        <f>+TRUNC(E52/1000)*1000</f>
        <v>110000</v>
      </c>
    </row>
    <row r="53" ht="12.75" customHeight="1" spans="1:6" x14ac:dyDescent="0.25">
      <c r="A53" s="18">
        <f>A54+1</f>
        <v>2001</v>
      </c>
      <c r="B53" s="190">
        <f>'CPI-U &amp; C-CPI-U Calcs'!$N35</f>
        <v>1.06761063796437</v>
      </c>
      <c r="C53" s="45">
        <f>C$56*$B53</f>
        <v>10676.1063796437</v>
      </c>
      <c r="D53" s="45">
        <f>+TRUNC(C53/1000)*1000</f>
        <v>10000</v>
      </c>
      <c r="E53" s="44">
        <f>E$56*$B53</f>
        <v>106761.063796437</v>
      </c>
      <c r="F53" s="191">
        <f>+TRUNC(E53/1000)*1000</f>
        <v>106000</v>
      </c>
    </row>
    <row r="54" ht="12.75" customHeight="1" spans="1:14" x14ac:dyDescent="0.25">
      <c r="A54" s="18">
        <f>A55+1</f>
        <v>2000</v>
      </c>
      <c r="B54" s="190">
        <f>'CPI-U &amp; C-CPI-U Calcs'!$N36</f>
        <v>1.03542504833063</v>
      </c>
      <c r="C54" s="45">
        <f>C$56*$B54</f>
        <v>10354.2504833063</v>
      </c>
      <c r="D54" s="45">
        <f>+TRUNC(C54/1000)*1000</f>
        <v>10000</v>
      </c>
      <c r="E54" s="44">
        <f>E$56*$B54</f>
        <v>103542.504833063</v>
      </c>
      <c r="F54" s="191">
        <f>+TRUNC(E54/1000)*1000</f>
        <v>103000</v>
      </c>
      <c r="M54" s="89"/>
      <c r="N54" s="89"/>
    </row>
    <row r="55" ht="12.75" customHeight="1" spans="1:14" x14ac:dyDescent="0.25">
      <c r="A55" s="18">
        <f>A56+1</f>
        <v>1999</v>
      </c>
      <c r="B55" s="190">
        <f>'CPI-U &amp; C-CPI-U Calcs'!$N37</f>
        <v>1.01687653482418</v>
      </c>
      <c r="C55" s="45">
        <f>C$56*$B55</f>
        <v>10168.7653482418</v>
      </c>
      <c r="D55" s="45">
        <f>+TRUNC(C55/1000)*1000</f>
        <v>10000</v>
      </c>
      <c r="E55" s="44">
        <f>E$56*$B55</f>
        <v>101687.653482418</v>
      </c>
      <c r="F55" s="191">
        <f>+TRUNC(E55/1000)*1000</f>
        <v>101000</v>
      </c>
      <c r="M55" s="89"/>
      <c r="N55" s="89"/>
    </row>
    <row r="56" ht="12.75" customHeight="1" spans="1:14" x14ac:dyDescent="0.25">
      <c r="A56" s="18">
        <v>1998</v>
      </c>
      <c r="B56" s="196">
        <f>'CPI-U &amp; C-CPI-U Calcs'!$N38</f>
        <v>1</v>
      </c>
      <c r="C56" s="88">
        <v>10000</v>
      </c>
      <c r="D56" s="88">
        <f>+TRUNC(C56/1000)*1000</f>
        <v>10000</v>
      </c>
      <c r="E56" s="87">
        <v>100000</v>
      </c>
      <c r="F56" s="197">
        <f>+TRUNC(E56/1000)*1000</f>
        <v>100000</v>
      </c>
      <c r="H56" s="90"/>
      <c r="I56" s="90"/>
      <c r="J56" s="90"/>
      <c r="K56" s="90"/>
      <c r="L56" s="89"/>
      <c r="M56" s="89"/>
      <c r="N56" s="89"/>
    </row>
    <row r="57" ht="12.75" customHeight="1" spans="1:14" x14ac:dyDescent="0.25">
      <c r="A57" s="15" t="s">
        <v>310</v>
      </c>
      <c r="B57" s="89"/>
      <c r="C57" s="89"/>
      <c r="D57" s="89"/>
      <c r="E57" s="89"/>
      <c r="F57" s="90"/>
      <c r="G57" s="90"/>
      <c r="H57" s="90"/>
      <c r="I57" s="90"/>
      <c r="J57" s="90"/>
      <c r="K57" s="90"/>
      <c r="L57" s="89"/>
      <c r="M57" s="89"/>
      <c r="N57" s="89"/>
    </row>
    <row r="58" ht="12.75" customHeight="1" spans="1:12" x14ac:dyDescent="0.25">
      <c r="A58" s="15"/>
      <c r="B58" s="89"/>
      <c r="C58" s="89"/>
      <c r="D58" s="89"/>
      <c r="E58" s="89"/>
      <c r="F58" s="90"/>
      <c r="G58" s="90"/>
      <c r="H58" s="90"/>
      <c r="I58" s="90"/>
      <c r="J58" s="90"/>
      <c r="K58" s="90"/>
      <c r="L58" s="89"/>
    </row>
    <row r="59" ht="12.75" customHeight="1" spans="1:12" x14ac:dyDescent="0.25">
      <c r="A59" s="15"/>
      <c r="B59" s="89"/>
      <c r="C59" s="89"/>
      <c r="D59" s="89"/>
      <c r="E59" s="89"/>
      <c r="F59" s="90"/>
      <c r="G59" s="90"/>
      <c r="H59" s="90"/>
      <c r="I59" s="90"/>
      <c r="J59" s="90"/>
      <c r="K59" s="90"/>
      <c r="L59" s="89"/>
    </row>
    <row r="60" ht="15.75" customHeight="1" spans="1:7" x14ac:dyDescent="0.25">
      <c r="A60" s="181" t="s">
        <v>311</v>
      </c>
      <c r="B60" s="89"/>
      <c r="C60" s="89"/>
      <c r="D60" s="89"/>
      <c r="E60" s="89"/>
      <c r="F60" s="90"/>
      <c r="G60" s="90"/>
    </row>
    <row r="61" ht="27.75" customHeight="1" spans="1:8" x14ac:dyDescent="0.25">
      <c r="A61" s="55" t="s">
        <v>6</v>
      </c>
      <c r="B61" s="182" t="s">
        <v>185</v>
      </c>
      <c r="C61" s="207" t="s">
        <v>312</v>
      </c>
      <c r="D61" s="207" t="s">
        <v>313</v>
      </c>
      <c r="E61" s="207" t="s">
        <v>314</v>
      </c>
      <c r="F61" s="207" t="s">
        <v>315</v>
      </c>
      <c r="G61" s="207" t="s">
        <v>316</v>
      </c>
      <c r="H61" s="207" t="s">
        <v>317</v>
      </c>
    </row>
    <row r="62" ht="12.75" customHeight="1" spans="1:8" x14ac:dyDescent="0.25">
      <c r="A62" s="27">
        <f>A63+1</f>
        <v>2022</v>
      </c>
      <c r="B62" s="185">
        <f>'CPI-U &amp; C-CPI-U Calcs'!$K14</f>
        <v>1.27717878744873</v>
      </c>
      <c r="C62" s="42">
        <f>C$76*$B62</f>
        <v>6385.89393724365</v>
      </c>
      <c r="D62" s="42">
        <f>+TRUNC(C62/500)*500</f>
        <v>6000</v>
      </c>
      <c r="E62" s="186">
        <v>10000</v>
      </c>
      <c r="F62" s="42">
        <f>+F64</f>
        <v>1000</v>
      </c>
      <c r="G62" s="42">
        <f>+F62</f>
        <v>1000</v>
      </c>
      <c r="H62" s="186">
        <f>+G62</f>
        <v>1000</v>
      </c>
    </row>
    <row r="63" ht="12.75" customHeight="1" spans="1:8" x14ac:dyDescent="0.25">
      <c r="A63" s="18">
        <f>A64+1</f>
        <v>2021</v>
      </c>
      <c r="B63" s="190">
        <f>'CPI-U &amp; C-CPI-U Calcs'!$K15</f>
        <v>1.23997940529003</v>
      </c>
      <c r="C63" s="45">
        <f>C$76*$B63</f>
        <v>6199.89702645015</v>
      </c>
      <c r="D63" s="45">
        <f>+TRUNC(C63/500)*500</f>
        <v>6000</v>
      </c>
      <c r="E63" s="191">
        <v>6000</v>
      </c>
      <c r="F63" s="45">
        <f>+F65</f>
        <v>1000</v>
      </c>
      <c r="G63" s="45">
        <f>+F63</f>
        <v>1000</v>
      </c>
      <c r="H63" s="191">
        <f>+G63</f>
        <v>1000</v>
      </c>
    </row>
    <row r="64" ht="12.75" customHeight="1" spans="1:8" x14ac:dyDescent="0.25">
      <c r="A64" s="18">
        <f>A65+1</f>
        <v>2020</v>
      </c>
      <c r="B64" s="190">
        <f>'CPI-U &amp; C-CPI-U Calcs'!$K16</f>
        <v>1.22641572747635</v>
      </c>
      <c r="C64" s="45">
        <f>C$76*$B64</f>
        <v>6132.07863738175</v>
      </c>
      <c r="D64" s="45">
        <f>+TRUNC(C64/500)*500</f>
        <v>6000</v>
      </c>
      <c r="E64" s="191">
        <v>6000</v>
      </c>
      <c r="F64" s="45">
        <f>+F66</f>
        <v>1000</v>
      </c>
      <c r="G64" s="45">
        <f>+F64</f>
        <v>1000</v>
      </c>
      <c r="H64" s="191">
        <f>+G64</f>
        <v>1000</v>
      </c>
    </row>
    <row r="65" ht="12.75" customHeight="1" spans="1:8" x14ac:dyDescent="0.25">
      <c r="A65" s="18">
        <f>A66+1</f>
        <v>2019</v>
      </c>
      <c r="B65" s="190">
        <f>'CPI-U &amp; C-CPI-U Calcs'!$K17</f>
        <v>1.20768483233327</v>
      </c>
      <c r="C65" s="45">
        <f>C$76*$B65</f>
        <v>6038.42416166637</v>
      </c>
      <c r="D65" s="45">
        <f>+TRUNC(C65/500)*500</f>
        <v>6000</v>
      </c>
      <c r="E65" s="191">
        <v>6000</v>
      </c>
      <c r="F65" s="45">
        <f>+F67</f>
        <v>1000</v>
      </c>
      <c r="G65" s="45">
        <f>+F65</f>
        <v>1000</v>
      </c>
      <c r="H65" s="191">
        <f>+G65</f>
        <v>1000</v>
      </c>
    </row>
    <row r="66" ht="12.75" customHeight="1" spans="1:8" x14ac:dyDescent="0.25">
      <c r="A66" s="18">
        <f>A67+1</f>
        <v>2018</v>
      </c>
      <c r="B66" s="190">
        <f>'CPI-U &amp; C-CPI-U Calcs'!$K18</f>
        <v>1.18408508936538</v>
      </c>
      <c r="C66" s="45">
        <f>C$76*$B66</f>
        <v>5920.42544682692</v>
      </c>
      <c r="D66" s="45">
        <f>+TRUNC(C66/500)*500</f>
        <v>5500</v>
      </c>
      <c r="E66" s="191">
        <v>5500</v>
      </c>
      <c r="F66" s="45">
        <f>+F68</f>
        <v>1000</v>
      </c>
      <c r="G66" s="45">
        <f>+F66</f>
        <v>1000</v>
      </c>
      <c r="H66" s="191">
        <f>+G66</f>
        <v>1000</v>
      </c>
    </row>
    <row r="67" ht="12.75" customHeight="1" spans="1:8" x14ac:dyDescent="0.25">
      <c r="A67" s="18">
        <f>A68+1</f>
        <v>2017</v>
      </c>
      <c r="B67" s="190">
        <f>'CPI-U &amp; C-CPI-U Calcs'!$K19</f>
        <v>1.1648659532148</v>
      </c>
      <c r="C67" s="45">
        <f>C$76*$B67</f>
        <v>5824.32976607402</v>
      </c>
      <c r="D67" s="45">
        <f>+TRUNC(C67/500)*500</f>
        <v>5500</v>
      </c>
      <c r="E67" s="191">
        <v>5500</v>
      </c>
      <c r="F67" s="45">
        <f>+F69</f>
        <v>1000</v>
      </c>
      <c r="G67" s="45">
        <f>+F67</f>
        <v>1000</v>
      </c>
      <c r="H67" s="191">
        <f>+G67</f>
        <v>1000</v>
      </c>
    </row>
    <row r="68" ht="12.75" customHeight="1" spans="1:8" x14ac:dyDescent="0.25">
      <c r="A68" s="18">
        <f>A69+1</f>
        <v>2016</v>
      </c>
      <c r="B68" s="190">
        <f>'CPI-U &amp; C-CPI-U Calcs'!$K20</f>
        <v>1.15559148576147</v>
      </c>
      <c r="C68" s="45">
        <f>C$76*$B68</f>
        <v>5777.95742880735</v>
      </c>
      <c r="D68" s="45">
        <f>+TRUNC(C68/500)*500</f>
        <v>5500</v>
      </c>
      <c r="E68" s="191">
        <v>5500</v>
      </c>
      <c r="F68" s="45">
        <f>+F70</f>
        <v>1000</v>
      </c>
      <c r="G68" s="45">
        <f>+F68</f>
        <v>1000</v>
      </c>
      <c r="H68" s="191">
        <f>+G68</f>
        <v>1000</v>
      </c>
    </row>
    <row r="69" ht="12.75" customHeight="1" spans="1:8" x14ac:dyDescent="0.25">
      <c r="A69" s="18">
        <f>A70+1</f>
        <v>2015</v>
      </c>
      <c r="B69" s="190">
        <f>'CPI-U &amp; C-CPI-U Calcs'!$K21</f>
        <v>1.1503984185286</v>
      </c>
      <c r="C69" s="45">
        <f>C$76*$B69</f>
        <v>5751.99209264298</v>
      </c>
      <c r="D69" s="45">
        <f>+TRUNC(C69/500)*500</f>
        <v>5500</v>
      </c>
      <c r="E69" s="191">
        <v>5500</v>
      </c>
      <c r="F69" s="45">
        <f>+F71</f>
        <v>1000</v>
      </c>
      <c r="G69" s="45">
        <f>+F69</f>
        <v>1000</v>
      </c>
      <c r="H69" s="191">
        <f>+G69</f>
        <v>1000</v>
      </c>
    </row>
    <row r="70" ht="12.75" customHeight="1" spans="1:8" x14ac:dyDescent="0.25">
      <c r="A70" s="18">
        <f>A71+1</f>
        <v>2014</v>
      </c>
      <c r="B70" s="190">
        <f>'CPI-U &amp; C-CPI-U Calcs'!$K22</f>
        <v>1.13250029489886</v>
      </c>
      <c r="C70" s="45">
        <f>C$76*$B70</f>
        <v>5662.5014744943</v>
      </c>
      <c r="D70" s="45">
        <f>+TRUNC(C70/500)*500</f>
        <v>5500</v>
      </c>
      <c r="E70" s="191">
        <v>5500</v>
      </c>
      <c r="F70" s="45">
        <f>+F71</f>
        <v>1000</v>
      </c>
      <c r="G70" s="45">
        <f>+F70</f>
        <v>1000</v>
      </c>
      <c r="H70" s="191">
        <f>+G70</f>
        <v>1000</v>
      </c>
    </row>
    <row r="71" ht="12.75" customHeight="1" spans="1:8" x14ac:dyDescent="0.25">
      <c r="A71" s="18">
        <f>A72+1</f>
        <v>2013</v>
      </c>
      <c r="B71" s="190">
        <f>'CPI-U &amp; C-CPI-U Calcs'!$K23</f>
        <v>1.11361659894162</v>
      </c>
      <c r="C71" s="45">
        <f>C$76*$B71</f>
        <v>5568.08299470809</v>
      </c>
      <c r="D71" s="45">
        <f>+TRUNC(C71/500)*500</f>
        <v>5500</v>
      </c>
      <c r="E71" s="191">
        <v>5500</v>
      </c>
      <c r="F71" s="45">
        <f>+F72</f>
        <v>1000</v>
      </c>
      <c r="G71" s="45">
        <f>+F71</f>
        <v>1000</v>
      </c>
      <c r="H71" s="191">
        <f>+G71</f>
        <v>1000</v>
      </c>
    </row>
    <row r="72" ht="12.75" customHeight="1" spans="1:8" x14ac:dyDescent="0.25">
      <c r="A72" s="18">
        <f>A73+1</f>
        <v>2012</v>
      </c>
      <c r="B72" s="190">
        <f>'CPI-U &amp; C-CPI-U Calcs'!$K24</f>
        <v>1.085711845172</v>
      </c>
      <c r="C72" s="45">
        <f>C$76*$B72</f>
        <v>5428.55922585998</v>
      </c>
      <c r="D72" s="45">
        <f>+TRUNC(C72/500)*500</f>
        <v>5000</v>
      </c>
      <c r="E72" s="191">
        <v>5000</v>
      </c>
      <c r="F72" s="45">
        <f>+F73</f>
        <v>1000</v>
      </c>
      <c r="G72" s="45">
        <f>+F72</f>
        <v>1000</v>
      </c>
      <c r="H72" s="191">
        <f>+G72</f>
        <v>1000</v>
      </c>
    </row>
    <row r="73" ht="12.75" customHeight="1" spans="1:8" x14ac:dyDescent="0.25">
      <c r="A73" s="18">
        <f>A74+1</f>
        <v>2011</v>
      </c>
      <c r="B73" s="190">
        <f>'CPI-U &amp; C-CPI-U Calcs'!$K25</f>
        <v>1.05999219026468</v>
      </c>
      <c r="C73" s="45">
        <f>C$76*$B73</f>
        <v>5299.96095132338</v>
      </c>
      <c r="D73" s="45">
        <f>+TRUNC(C73/500)*500</f>
        <v>5000</v>
      </c>
      <c r="E73" s="191">
        <v>5000</v>
      </c>
      <c r="F73" s="45">
        <f>+F74</f>
        <v>1000</v>
      </c>
      <c r="G73" s="45">
        <f>+F73</f>
        <v>1000</v>
      </c>
      <c r="H73" s="191">
        <f>+G73</f>
        <v>1000</v>
      </c>
    </row>
    <row r="74" ht="12.75" customHeight="1" spans="1:8" x14ac:dyDescent="0.25">
      <c r="A74" s="18">
        <f>A75+1</f>
        <v>2010</v>
      </c>
      <c r="B74" s="190">
        <f>'CPI-U &amp; C-CPI-U Calcs'!$K26</f>
        <v>1.04456348867385</v>
      </c>
      <c r="C74" s="45">
        <f>C$76*$B74</f>
        <v>5222.81744336925</v>
      </c>
      <c r="D74" s="45">
        <f>+TRUNC(C74/500)*500</f>
        <v>5000</v>
      </c>
      <c r="E74" s="191">
        <v>5000</v>
      </c>
      <c r="F74" s="45">
        <f>+F75</f>
        <v>1000</v>
      </c>
      <c r="G74" s="45">
        <f>+F74</f>
        <v>1000</v>
      </c>
      <c r="H74" s="191">
        <f>+G74</f>
        <v>1000</v>
      </c>
    </row>
    <row r="75" ht="12.75" customHeight="1" spans="1:8" x14ac:dyDescent="0.25">
      <c r="A75" s="18">
        <f>A76+1</f>
        <v>2009</v>
      </c>
      <c r="B75" s="190">
        <f>'CPI-U &amp; C-CPI-U Calcs'!$K27</f>
        <v>1.04262407106859</v>
      </c>
      <c r="C75" s="45">
        <f>C$76*$B75</f>
        <v>5213.12035534296</v>
      </c>
      <c r="D75" s="45">
        <f>+TRUNC(C75/500)*500</f>
        <v>5000</v>
      </c>
      <c r="E75" s="191">
        <v>5000</v>
      </c>
      <c r="F75" s="45">
        <f>+F76</f>
        <v>1000</v>
      </c>
      <c r="G75" s="45">
        <f>+F75</f>
        <v>1000</v>
      </c>
      <c r="H75" s="191">
        <f>+G75</f>
        <v>1000</v>
      </c>
    </row>
    <row r="76" ht="12.75" customHeight="1" spans="1:8" x14ac:dyDescent="0.25">
      <c r="A76" s="18">
        <v>2008</v>
      </c>
      <c r="B76" s="208">
        <f>'CPI-U &amp; C-CPI-U Calcs'!$K28</f>
        <v>1</v>
      </c>
      <c r="C76" s="88">
        <v>5000</v>
      </c>
      <c r="D76" s="89">
        <f>+TRUNC(C76/500)*500</f>
        <v>5000</v>
      </c>
      <c r="E76" s="191"/>
      <c r="F76" s="88">
        <v>1000</v>
      </c>
      <c r="G76" s="89">
        <f>+F76</f>
        <v>1000</v>
      </c>
      <c r="H76" s="209">
        <f>+G76</f>
        <v>1000</v>
      </c>
    </row>
    <row r="77" ht="13.5" customHeight="1" spans="1:7" x14ac:dyDescent="0.25">
      <c r="A77" s="34" t="s">
        <v>318</v>
      </c>
      <c r="B77" s="79"/>
      <c r="C77" s="45"/>
      <c r="D77" s="45"/>
      <c r="E77" s="45"/>
      <c r="F77" s="45"/>
      <c r="G77" s="45"/>
    </row>
    <row r="78" ht="12.75" customHeight="1" spans="1:7" x14ac:dyDescent="0.25">
      <c r="A78" s="34" t="s">
        <v>319</v>
      </c>
      <c r="B78" s="79"/>
      <c r="C78" s="45"/>
      <c r="D78" s="45"/>
      <c r="E78" s="45"/>
      <c r="F78" s="45"/>
      <c r="G78" s="45"/>
    </row>
    <row r="79" ht="12.75" customHeight="1" spans="1:7" x14ac:dyDescent="0.25">
      <c r="A79" s="34"/>
      <c r="B79" s="79"/>
      <c r="C79" s="45"/>
      <c r="D79" s="45"/>
      <c r="E79" s="45"/>
      <c r="F79" s="45"/>
      <c r="G79" s="45"/>
    </row>
    <row r="80" ht="12.75" customHeight="1" spans="1:13" x14ac:dyDescent="0.25">
      <c r="A80" s="34"/>
      <c r="B80" s="79"/>
      <c r="C80" s="45"/>
      <c r="D80" s="45"/>
      <c r="E80" s="45"/>
      <c r="F80" s="45"/>
      <c r="G80" s="45"/>
      <c r="M80" s="15"/>
    </row>
  </sheetData>
  <mergeCells count="2">
    <mergeCell ref="C30:D30"/>
    <mergeCell ref="E30:F30"/>
  </mergeCells>
  <pageMargins left="0.75" right="0.75" top="1" bottom="1" header="0.511811023622047" footer="0.511811023622047"/>
  <pageSetup paperSize="1" orientation="landscape" horizontalDpi="300" verticalDpi="300" scale="9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5"/>
  <sheetViews>
    <sheetView workbookViewId="0" zoomScale="90" zoomScaleNormal="90" view="normal">
      <selection activeCell="F15" sqref="F15"/>
    </sheetView>
  </sheetViews>
  <sheetFormatPr defaultRowHeight="12.75" outlineLevelRow="0" outlineLevelCol="0" x14ac:dyDescent="0" defaultColWidth="9.1640625" customHeight="1"/>
  <cols>
    <col min="1" max="1" width="11.67" style="16" customWidth="1"/>
    <col min="2" max="3" width="12.67" style="16" customWidth="1"/>
    <col min="4" max="4" width="14.67" style="16" customWidth="1"/>
    <col min="5" max="5" width="4.83" style="16" customWidth="1"/>
    <col min="6" max="9" width="14.67" style="16" customWidth="1"/>
    <col min="10" max="13" width="15" style="16" customWidth="1"/>
    <col min="14" max="19" width="14.67" style="16" customWidth="1"/>
    <col min="20" max="20" width="8.67" style="16" customWidth="1"/>
    <col min="21" max="21" width="10.66" style="16" customWidth="1"/>
    <col min="22" max="31" width="8.67" style="16" customWidth="1"/>
    <col min="32" max="16384" width="9.16" style="16" customWidth="1"/>
  </cols>
  <sheetData>
    <row r="1" ht="18" customHeight="1" spans="1:1" x14ac:dyDescent="0.25">
      <c r="A1" s="14" t="s">
        <v>320</v>
      </c>
    </row>
    <row r="2" ht="15.75" customHeight="1" spans="1:1" x14ac:dyDescent="0.25">
      <c r="A2" s="181" t="s">
        <v>321</v>
      </c>
    </row>
    <row r="3" ht="15.75" customHeight="1" spans="1:1" x14ac:dyDescent="0.25">
      <c r="A3" s="181" t="s">
        <v>322</v>
      </c>
    </row>
    <row r="4" ht="15.75" customHeight="1" spans="1:1" x14ac:dyDescent="0.25">
      <c r="A4" s="181" t="s">
        <v>323</v>
      </c>
    </row>
    <row r="6" ht="15.75" customHeight="1" spans="1:34" x14ac:dyDescent="0.25">
      <c r="A6" s="181" t="s">
        <v>324</v>
      </c>
      <c r="V6" s="210" t="s">
        <v>325</v>
      </c>
      <c r="W6" s="211">
        <v>42248</v>
      </c>
      <c r="X6" s="211">
        <v>42278</v>
      </c>
      <c r="Y6" s="211">
        <v>42309</v>
      </c>
      <c r="Z6" s="211">
        <v>42339</v>
      </c>
      <c r="AA6" s="211">
        <v>42370</v>
      </c>
      <c r="AB6" s="211">
        <v>42401</v>
      </c>
      <c r="AC6" s="211">
        <v>42430</v>
      </c>
      <c r="AD6" s="211">
        <v>42461</v>
      </c>
      <c r="AE6" s="211">
        <v>42491</v>
      </c>
      <c r="AF6" s="211">
        <v>42522</v>
      </c>
      <c r="AG6" s="211">
        <v>42552</v>
      </c>
      <c r="AH6" s="211">
        <v>42583</v>
      </c>
    </row>
    <row r="7" ht="15" customHeight="1" spans="1:34" x14ac:dyDescent="0.25">
      <c r="A7" s="20" t="s">
        <v>326</v>
      </c>
      <c r="C7" s="20">
        <f>V8*(V7/V8)</f>
        <v>135.993</v>
      </c>
      <c r="U7" s="20" t="s">
        <v>327</v>
      </c>
      <c r="V7" s="20">
        <f>SUM(W7:AH7)/12</f>
        <v>135.993</v>
      </c>
      <c r="W7" s="212">
        <v>135.837</v>
      </c>
      <c r="X7" s="212">
        <v>135.735</v>
      </c>
      <c r="Y7" s="212">
        <v>135.393</v>
      </c>
      <c r="Z7" s="212">
        <v>134.788</v>
      </c>
      <c r="AA7" s="212">
        <v>134.966</v>
      </c>
      <c r="AB7" s="212">
        <v>134.953</v>
      </c>
      <c r="AC7" s="212">
        <v>135.655</v>
      </c>
      <c r="AD7" s="212">
        <v>136.332</v>
      </c>
      <c r="AE7" s="212">
        <v>136.895</v>
      </c>
      <c r="AF7" s="212">
        <v>137.329</v>
      </c>
      <c r="AG7" s="212">
        <v>137.007</v>
      </c>
      <c r="AH7" s="213">
        <v>137.026</v>
      </c>
    </row>
    <row r="8" ht="15" customHeight="1" spans="1:34" x14ac:dyDescent="0.25">
      <c r="A8" s="16" t="s">
        <v>328</v>
      </c>
      <c r="U8" s="20" t="s">
        <v>329</v>
      </c>
      <c r="V8" s="20">
        <f>SUM(W8:AH8)/12</f>
        <v>238.649</v>
      </c>
      <c r="W8" s="212">
        <v>237.945</v>
      </c>
      <c r="X8" s="214">
        <v>237.838</v>
      </c>
      <c r="Y8" s="214">
        <v>237.336</v>
      </c>
      <c r="Z8" s="214">
        <v>236.525</v>
      </c>
      <c r="AA8" s="214">
        <v>236.916</v>
      </c>
      <c r="AB8" s="214">
        <v>237.111</v>
      </c>
      <c r="AC8" s="214">
        <v>238.132</v>
      </c>
      <c r="AD8" s="214">
        <v>239.261</v>
      </c>
      <c r="AE8" s="214">
        <v>240.229</v>
      </c>
      <c r="AF8" s="214">
        <v>241.018</v>
      </c>
      <c r="AG8" s="214">
        <v>240.628</v>
      </c>
      <c r="AH8" s="214">
        <v>240.849</v>
      </c>
    </row>
    <row r="10" ht="15.75" customHeight="1" spans="1:11" x14ac:dyDescent="0.25">
      <c r="A10" s="181"/>
      <c r="I10" s="20"/>
      <c r="K10" s="20"/>
    </row>
    <row r="11" ht="75.75" customHeight="1" spans="1:35" x14ac:dyDescent="0.25">
      <c r="A11" s="181" t="s">
        <v>330</v>
      </c>
      <c r="F11" s="215" t="s">
        <v>331</v>
      </c>
      <c r="G11" s="215" t="s">
        <v>332</v>
      </c>
      <c r="H11" s="215" t="s">
        <v>333</v>
      </c>
      <c r="I11" s="215" t="s">
        <v>334</v>
      </c>
      <c r="J11" s="215" t="s">
        <v>335</v>
      </c>
      <c r="K11" s="215" t="s">
        <v>336</v>
      </c>
      <c r="L11" s="215" t="s">
        <v>337</v>
      </c>
      <c r="M11" s="215" t="s">
        <v>338</v>
      </c>
      <c r="N11" s="215" t="s">
        <v>339</v>
      </c>
      <c r="O11" s="215" t="s">
        <v>340</v>
      </c>
      <c r="P11" s="215" t="s">
        <v>341</v>
      </c>
      <c r="Q11" s="216"/>
      <c r="R11" s="215" t="s">
        <v>342</v>
      </c>
      <c r="S11" s="215" t="s">
        <v>154</v>
      </c>
      <c r="T11" s="217" t="s">
        <v>343</v>
      </c>
      <c r="U11" s="218"/>
      <c r="V11" s="218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</row>
    <row r="12" ht="33" customHeight="1" spans="1:35" x14ac:dyDescent="0.25">
      <c r="A12" s="220" t="s">
        <v>6</v>
      </c>
      <c r="B12" s="207" t="s">
        <v>344</v>
      </c>
      <c r="C12" s="207" t="s">
        <v>345</v>
      </c>
      <c r="D12" s="207" t="s">
        <v>346</v>
      </c>
      <c r="E12" s="207"/>
      <c r="F12" s="207" t="s">
        <v>347</v>
      </c>
      <c r="G12" s="207"/>
      <c r="H12" s="207" t="s">
        <v>348</v>
      </c>
      <c r="I12" s="207" t="s">
        <v>349</v>
      </c>
      <c r="J12" s="207" t="s">
        <v>350</v>
      </c>
      <c r="K12" s="207" t="s">
        <v>351</v>
      </c>
      <c r="L12" s="207" t="s">
        <v>352</v>
      </c>
      <c r="M12" s="207" t="s">
        <v>353</v>
      </c>
      <c r="N12" s="207" t="s">
        <v>354</v>
      </c>
      <c r="O12" s="207" t="s">
        <v>355</v>
      </c>
      <c r="P12" s="207" t="s">
        <v>356</v>
      </c>
      <c r="Q12" s="207" t="s">
        <v>357</v>
      </c>
      <c r="R12" s="207" t="s">
        <v>358</v>
      </c>
      <c r="S12" s="207" t="s">
        <v>359</v>
      </c>
      <c r="T12" s="221" t="s">
        <v>6</v>
      </c>
      <c r="U12" s="207" t="s">
        <v>360</v>
      </c>
      <c r="V12" s="222" t="s">
        <v>361</v>
      </c>
      <c r="W12" s="20" t="s">
        <v>125</v>
      </c>
      <c r="X12" s="20" t="s">
        <v>124</v>
      </c>
      <c r="Y12" s="20" t="s">
        <v>123</v>
      </c>
      <c r="Z12" s="20" t="s">
        <v>122</v>
      </c>
      <c r="AA12" s="20" t="s">
        <v>121</v>
      </c>
      <c r="AB12" s="20" t="s">
        <v>120</v>
      </c>
      <c r="AC12" s="20" t="s">
        <v>119</v>
      </c>
      <c r="AD12" s="20" t="s">
        <v>118</v>
      </c>
      <c r="AE12" s="20" t="s">
        <v>117</v>
      </c>
      <c r="AF12" s="20" t="s">
        <v>116</v>
      </c>
      <c r="AG12" s="20" t="s">
        <v>115</v>
      </c>
      <c r="AH12" s="20" t="s">
        <v>114</v>
      </c>
      <c r="AI12" s="223" t="s">
        <v>362</v>
      </c>
    </row>
    <row r="13" ht="12.75" customHeight="1" spans="1:35" x14ac:dyDescent="0.25">
      <c r="A13" s="224" t="s">
        <v>363</v>
      </c>
      <c r="B13" s="225">
        <f>SUM(AE14, AF14,AG14,AH14,W13,X13,Y13,Z13,AA13,AB13,AC13,AD13)/12</f>
        <v>200</v>
      </c>
      <c r="C13" s="226">
        <v>0.03</v>
      </c>
      <c r="D13" s="227">
        <f>C13</f>
        <v>0.03</v>
      </c>
      <c r="E13" s="228"/>
      <c r="F13" s="170">
        <f>F14*(1+$D13)</f>
        <v>1.11097940755021</v>
      </c>
      <c r="G13" s="170">
        <f>G14*(1+$D13)</f>
        <v>1.12930946899228</v>
      </c>
      <c r="H13" s="170">
        <f>H14*(1+$D13)</f>
        <v>1.18128101926861</v>
      </c>
      <c r="I13" s="170">
        <f>I14*(1+$D13)</f>
        <v>1.21164207328308</v>
      </c>
      <c r="J13" s="170">
        <f>J14*(1+$D13)</f>
        <v>1.24104136158184</v>
      </c>
      <c r="K13" s="170">
        <f>K14*(1+$D13)</f>
        <v>1.31549415107219</v>
      </c>
      <c r="L13" s="170">
        <f>L14*(1+$D13)</f>
        <v>1.50837316617063</v>
      </c>
      <c r="M13" s="170">
        <f>M14*(1+$D13)</f>
        <v>1.63198410737571</v>
      </c>
      <c r="N13" s="170">
        <f>N14*(1+$D13)</f>
        <v>1.68979722325433</v>
      </c>
      <c r="O13" s="170">
        <f>O14*(1+$D13)</f>
        <v>1.88237175111254</v>
      </c>
      <c r="P13" s="170">
        <f>P14*(1+$D13)</f>
        <v>1.93995735443972</v>
      </c>
      <c r="Q13" s="170">
        <f>Q14*(1+$D13)</f>
        <v>1.99907461094477</v>
      </c>
      <c r="R13" s="170">
        <f>R14*(1+$D13)</f>
        <v>2.31106395997317</v>
      </c>
      <c r="S13" s="170">
        <f>S14*(1+$D13)</f>
        <v>2.40668470426139</v>
      </c>
      <c r="T13" s="229">
        <f>T14+1</f>
        <v>2023</v>
      </c>
      <c r="U13" s="230">
        <f>(AI13-AI14)/AI14</f>
        <v>0.0229865068079752</v>
      </c>
      <c r="V13" s="231">
        <f>V14+1</f>
        <v>2022</v>
      </c>
      <c r="W13" s="232">
        <v>200</v>
      </c>
      <c r="X13" s="232">
        <v>200</v>
      </c>
      <c r="Y13" s="232">
        <v>200</v>
      </c>
      <c r="Z13" s="232">
        <v>200</v>
      </c>
      <c r="AA13" s="232">
        <v>200</v>
      </c>
      <c r="AB13" s="232">
        <v>200</v>
      </c>
      <c r="AC13" s="232">
        <v>200</v>
      </c>
      <c r="AD13" s="232">
        <v>200</v>
      </c>
      <c r="AE13" s="232">
        <v>200</v>
      </c>
      <c r="AF13" s="232">
        <v>200</v>
      </c>
      <c r="AG13" s="232">
        <v>200</v>
      </c>
      <c r="AH13" s="232">
        <v>200</v>
      </c>
      <c r="AI13" s="233">
        <f>(SUM(AE14:AH14)+SUM(W13:AD13))/12</f>
        <v>200</v>
      </c>
    </row>
    <row r="14" ht="12.75" customHeight="1" spans="1:35" x14ac:dyDescent="0.25">
      <c r="A14" s="224" t="s">
        <v>364</v>
      </c>
      <c r="B14" s="225">
        <f>SUM(AE15, AF15,AG15,AH15,W14,X14,Y14,Z14,AA14,AB14,AC14,AD14)/12</f>
        <v>195.506</v>
      </c>
      <c r="C14" s="226">
        <v>0.03</v>
      </c>
      <c r="D14" s="227">
        <f>C14</f>
        <v>0.03</v>
      </c>
      <c r="E14" s="228"/>
      <c r="F14" s="170">
        <f>F15*(1+$D14)</f>
        <v>1.07862078402933</v>
      </c>
      <c r="G14" s="170">
        <f>G15*(1+$D14)</f>
        <v>1.09641696018668</v>
      </c>
      <c r="H14" s="170">
        <f>H15*(1+$D14)</f>
        <v>1.14687477598894</v>
      </c>
      <c r="I14" s="170">
        <f>I15*(1+$D14)</f>
        <v>1.1763515274593</v>
      </c>
      <c r="J14" s="170">
        <f>J15*(1+$D14)</f>
        <v>1.20489452580761</v>
      </c>
      <c r="K14" s="170">
        <f>K15*(1+$D14)</f>
        <v>1.27717878744873</v>
      </c>
      <c r="L14" s="170">
        <f>L15*(1+$D14)</f>
        <v>1.46443996715595</v>
      </c>
      <c r="M14" s="170">
        <f>M15*(1+$D14)</f>
        <v>1.58445058968516</v>
      </c>
      <c r="N14" s="170">
        <f>N15*(1+$D14)</f>
        <v>1.64057982840226</v>
      </c>
      <c r="O14" s="170">
        <f>O15*(1+$D14)</f>
        <v>1.82754538942965</v>
      </c>
      <c r="P14" s="170">
        <f>P15*(1+$D14)</f>
        <v>1.88345374217448</v>
      </c>
      <c r="Q14" s="170">
        <f>Q15*(1+$D14)</f>
        <v>1.94084913683958</v>
      </c>
      <c r="R14" s="170">
        <f>R15*(1+$D14)</f>
        <v>2.24375141744968</v>
      </c>
      <c r="S14" s="170">
        <f>S15*(1+$D14)</f>
        <v>2.33658709151591</v>
      </c>
      <c r="T14" s="229">
        <f>T15+1</f>
        <v>2022</v>
      </c>
      <c r="U14" s="230">
        <f>(AI14-AI15)/AI15</f>
        <v>0.350532425023573</v>
      </c>
      <c r="V14" s="231">
        <f>V15+1</f>
        <v>2021</v>
      </c>
      <c r="W14" s="232">
        <v>200</v>
      </c>
      <c r="X14" s="232">
        <v>200</v>
      </c>
      <c r="Y14" s="232">
        <v>200</v>
      </c>
      <c r="Z14" s="232">
        <v>200</v>
      </c>
      <c r="AA14" s="232">
        <v>200</v>
      </c>
      <c r="AB14" s="232">
        <v>200</v>
      </c>
      <c r="AC14" s="232">
        <v>200</v>
      </c>
      <c r="AD14" s="232">
        <v>200</v>
      </c>
      <c r="AE14" s="232">
        <v>200</v>
      </c>
      <c r="AF14" s="232">
        <v>200</v>
      </c>
      <c r="AG14" s="232">
        <v>200</v>
      </c>
      <c r="AH14" s="232">
        <v>200</v>
      </c>
      <c r="AI14" s="233">
        <f>(SUM(AE15:AH15)+SUM(W14:AD14))/12</f>
        <v>195.506</v>
      </c>
    </row>
    <row r="15" ht="12.75" customHeight="1" spans="1:35" x14ac:dyDescent="0.25">
      <c r="A15" s="234">
        <f>A16+1</f>
        <v>2021</v>
      </c>
      <c r="B15" s="235">
        <f>SUM(AE16, AF16,AG16,AH16,W15,X15,Y15,Z15,AA15,AB15,AC15,AD15)/12</f>
        <v>144.762166666667</v>
      </c>
      <c r="C15" s="236">
        <f>U15</f>
        <v>0.0110596085077853</v>
      </c>
      <c r="D15" s="237">
        <f>C15</f>
        <v>0.0110596085077853</v>
      </c>
      <c r="E15" s="228"/>
      <c r="F15" s="172">
        <f>F16*(1+$D15)</f>
        <v>1.04720464468867</v>
      </c>
      <c r="G15" s="172">
        <f>G16*(1+$D15)</f>
        <v>1.06448248561813</v>
      </c>
      <c r="H15" s="172">
        <f>H16*(1+$D15)</f>
        <v>1.11347065629994</v>
      </c>
      <c r="I15" s="172">
        <f>I16*(1+$D15)</f>
        <v>1.14208886161097</v>
      </c>
      <c r="J15" s="172">
        <f>J16*(1+$D15)</f>
        <v>1.16980051049283</v>
      </c>
      <c r="K15" s="172">
        <f>K16*(1+$D15)</f>
        <v>1.23997940529003</v>
      </c>
      <c r="L15" s="172">
        <f>L16*(1+$D15)</f>
        <v>1.42178637587957</v>
      </c>
      <c r="M15" s="172">
        <f>M16*(1+$D15)</f>
        <v>1.53830154338365</v>
      </c>
      <c r="N15" s="172">
        <f>N16*(1+$D15)</f>
        <v>1.5927959499051</v>
      </c>
      <c r="O15" s="172">
        <f>O16*(1+$D15)</f>
        <v>1.77431591206762</v>
      </c>
      <c r="P15" s="172">
        <f>P16*(1+$D15)</f>
        <v>1.82859586618882</v>
      </c>
      <c r="Q15" s="172">
        <f>Q16*(1+$D15)</f>
        <v>1.88431955032969</v>
      </c>
      <c r="R15" s="172">
        <f>R16*(1+$D15)</f>
        <v>2.17839943441716</v>
      </c>
      <c r="S15" s="172">
        <f>S16*(1+$D15)</f>
        <v>2.26853115681156</v>
      </c>
      <c r="T15" s="238">
        <f>T16+1</f>
        <v>2021</v>
      </c>
      <c r="U15" s="239">
        <f>(AI15-AI16)/AI16</f>
        <v>0.0110596085077853</v>
      </c>
      <c r="V15" s="240">
        <f>V16+1</f>
        <v>2020</v>
      </c>
      <c r="W15" s="241">
        <v>144.995</v>
      </c>
      <c r="X15" s="241">
        <v>145.39</v>
      </c>
      <c r="Y15" s="241">
        <v>145.005</v>
      </c>
      <c r="Z15" s="241">
        <v>143.847</v>
      </c>
      <c r="AA15" s="241">
        <v>143.8</v>
      </c>
      <c r="AB15" s="241">
        <v>144.651</v>
      </c>
      <c r="AC15" s="241">
        <v>145.405</v>
      </c>
      <c r="AD15" s="241">
        <v>145.853</v>
      </c>
      <c r="AE15" s="241">
        <v>146.072</v>
      </c>
      <c r="AF15" s="232">
        <v>200</v>
      </c>
      <c r="AG15" s="232">
        <v>200</v>
      </c>
      <c r="AH15" s="232">
        <v>200</v>
      </c>
      <c r="AI15" s="233">
        <f>(SUM(AE16:AH16)+SUM(W15:AD15))/12</f>
        <v>144.762166666667</v>
      </c>
    </row>
    <row r="16" ht="12.75" customHeight="1" spans="1:35" x14ac:dyDescent="0.25">
      <c r="A16" s="234">
        <f>A17+1</f>
        <v>2020</v>
      </c>
      <c r="B16" s="235">
        <f>SUM(AE17, AF17,AG17,AH17,W16,X16,Y16,Z16,AA16,AB16,AC16,AD16)/12</f>
        <v>143.178666666667</v>
      </c>
      <c r="C16" s="236">
        <f>U16</f>
        <v>0.0155097544008137</v>
      </c>
      <c r="D16" s="237">
        <f>C16</f>
        <v>0.0155097544008137</v>
      </c>
      <c r="E16" s="228"/>
      <c r="F16" s="172">
        <f>F17*(1+$D16)</f>
        <v>1.03574965894863</v>
      </c>
      <c r="G16" s="172">
        <f>G17*(1+$D16)</f>
        <v>1.0528385039426</v>
      </c>
      <c r="H16" s="172">
        <f>H17*(1+$D16)</f>
        <v>1.10129081107622</v>
      </c>
      <c r="I16" s="172">
        <f>I17*(1+$D16)</f>
        <v>1.12959597238443</v>
      </c>
      <c r="J16" s="172">
        <f>J17*(1+$D16)</f>
        <v>1.1570044937502</v>
      </c>
      <c r="K16" s="172">
        <f>K17*(1+$D16)</f>
        <v>1.22641572747635</v>
      </c>
      <c r="L16" s="172">
        <f>L17*(1+$D16)</f>
        <v>1.40623397860584</v>
      </c>
      <c r="M16" s="172">
        <f>M17*(1+$D16)</f>
        <v>1.52147462962546</v>
      </c>
      <c r="N16" s="172">
        <f>N17*(1+$D16)</f>
        <v>1.57537294191378</v>
      </c>
      <c r="O16" s="172">
        <f>O17*(1+$D16)</f>
        <v>1.75490732409568</v>
      </c>
      <c r="P16" s="172">
        <f>P17*(1+$D16)</f>
        <v>1.80859352979952</v>
      </c>
      <c r="Q16" s="172">
        <f>Q17*(1+$D16)</f>
        <v>1.86370767309234</v>
      </c>
      <c r="R16" s="172">
        <f>R17*(1+$D16)</f>
        <v>2.15457072568871</v>
      </c>
      <c r="S16" s="172">
        <f>S17*(1+$D16)</f>
        <v>2.24371653038308</v>
      </c>
      <c r="T16" s="238">
        <f>T17+1</f>
        <v>2020</v>
      </c>
      <c r="U16" s="239">
        <f>(AI16-AI17)/AI17</f>
        <v>0.0155097544008137</v>
      </c>
      <c r="V16" s="240">
        <f>V17+1</f>
        <v>2019</v>
      </c>
      <c r="W16" s="242">
        <v>142.001</v>
      </c>
      <c r="X16" s="242">
        <v>142.571</v>
      </c>
      <c r="Y16" s="242">
        <v>143.297</v>
      </c>
      <c r="Z16" s="242">
        <v>143.926</v>
      </c>
      <c r="AA16" s="242">
        <v>144.183</v>
      </c>
      <c r="AB16" s="242">
        <v>144.243</v>
      </c>
      <c r="AC16" s="242">
        <v>144.409</v>
      </c>
      <c r="AD16" s="242">
        <v>144.388</v>
      </c>
      <c r="AE16" s="242">
        <v>144.428</v>
      </c>
      <c r="AF16" s="241">
        <v>144.722</v>
      </c>
      <c r="AG16" s="241">
        <v>144.613</v>
      </c>
      <c r="AH16" s="241">
        <v>144.437</v>
      </c>
      <c r="AI16" s="233">
        <f>(SUM(AE17:AH17)+SUM(W16:AD16))/12</f>
        <v>143.178666666667</v>
      </c>
    </row>
    <row r="17" ht="12.75" customHeight="1" spans="1:35" x14ac:dyDescent="0.25">
      <c r="A17" s="234">
        <f>A18+1</f>
        <v>2019</v>
      </c>
      <c r="B17" s="235">
        <f>SUM(AE18, AF18,AG18,AH18,W17,X17,Y17,Z17,AA17,AB17,AC17,AD17)/12</f>
        <v>140.991916666667</v>
      </c>
      <c r="C17" s="236">
        <f>U17</f>
        <v>0.0199307829984911</v>
      </c>
      <c r="D17" s="237">
        <f>C17</f>
        <v>0.0199307829984911</v>
      </c>
      <c r="E17" s="243"/>
      <c r="F17" s="172">
        <f>F18*(1+$D17)</f>
        <v>1.01993078299849</v>
      </c>
      <c r="G17" s="172">
        <f>G18*(1+$D17)</f>
        <v>1.0367586321845</v>
      </c>
      <c r="H17" s="172">
        <f>H18*(1+$D17)</f>
        <v>1.08447093324674</v>
      </c>
      <c r="I17" s="172">
        <f>I18*(1+$D17)</f>
        <v>1.11234379334045</v>
      </c>
      <c r="J17" s="172">
        <f>J18*(1+$D17)</f>
        <v>1.13933370776224</v>
      </c>
      <c r="K17" s="172">
        <f>K18*(1+$D17)</f>
        <v>1.20768483233327</v>
      </c>
      <c r="L17" s="172">
        <f>L18*(1+$D17)</f>
        <v>1.38475674163816</v>
      </c>
      <c r="M17" s="172">
        <f>M18*(1+$D17)</f>
        <v>1.49823733650219</v>
      </c>
      <c r="N17" s="172">
        <f>N18*(1+$D17)</f>
        <v>1.55131246655854</v>
      </c>
      <c r="O17" s="172">
        <f>O18*(1+$D17)</f>
        <v>1.72810484241103</v>
      </c>
      <c r="P17" s="172">
        <f>P18*(1+$D17)</f>
        <v>1.78097110536044</v>
      </c>
      <c r="Q17" s="172">
        <f>Q18*(1+$D17)</f>
        <v>1.8352434971853</v>
      </c>
      <c r="R17" s="172">
        <f>R18*(1+$D17)</f>
        <v>2.12166423449077</v>
      </c>
      <c r="S17" s="172">
        <f>S18*(1+$D17)</f>
        <v>2.20944852637772</v>
      </c>
      <c r="T17" s="238">
        <v>2019</v>
      </c>
      <c r="U17" s="239">
        <f>(AI17-AI18)/AI18</f>
        <v>0.0199307829984911</v>
      </c>
      <c r="V17" s="240">
        <f>V18+1</f>
        <v>2018</v>
      </c>
      <c r="W17" s="244">
        <v>140.239</v>
      </c>
      <c r="X17" s="244">
        <v>140.805</v>
      </c>
      <c r="Y17" s="244">
        <v>141.142</v>
      </c>
      <c r="Z17" s="242">
        <v>141.662</v>
      </c>
      <c r="AA17" s="242">
        <v>142.146</v>
      </c>
      <c r="AB17" s="242">
        <v>142.349</v>
      </c>
      <c r="AC17" s="242">
        <v>142.317</v>
      </c>
      <c r="AD17" s="242">
        <v>142.317</v>
      </c>
      <c r="AE17" s="242">
        <v>142.489</v>
      </c>
      <c r="AF17" s="242">
        <v>142.7</v>
      </c>
      <c r="AG17" s="242">
        <v>142.238</v>
      </c>
      <c r="AH17" s="242">
        <v>141.699</v>
      </c>
      <c r="AI17" s="233">
        <f>(SUM(AE18:AH18)+SUM(W17:AD17))/12</f>
        <v>140.991916666667</v>
      </c>
    </row>
    <row r="18" ht="12.75" customHeight="1" spans="1:35" x14ac:dyDescent="0.25">
      <c r="A18" s="234">
        <f>A19+1</f>
        <v>2018</v>
      </c>
      <c r="B18" s="235">
        <f>SUM(AE19, AF19,AG19,AH19,W18,X18,Y18,Z18,AA18,AB18,AC18,AD18)/12</f>
        <v>138.23675</v>
      </c>
      <c r="C18" s="236">
        <f>U18</f>
        <v>0.0164990109785061</v>
      </c>
      <c r="D18" s="237">
        <f>C18</f>
        <v>0.0164990109785061</v>
      </c>
      <c r="E18" s="243"/>
      <c r="F18" s="245">
        <v>1</v>
      </c>
      <c r="G18" s="172">
        <f>G19*(1+$D18)</f>
        <v>1.01649901097851</v>
      </c>
      <c r="H18" s="172">
        <f>H19*(1+$D18)</f>
        <v>1.06327895120344</v>
      </c>
      <c r="I18" s="172">
        <f>I19*(1+$D18)</f>
        <v>1.09060713911416</v>
      </c>
      <c r="J18" s="172">
        <f>J19*(1+$D18)</f>
        <v>1.11706963526752</v>
      </c>
      <c r="K18" s="172">
        <f>K19*(1+$D18)</f>
        <v>1.18408508936538</v>
      </c>
      <c r="L18" s="172">
        <f>L19*(1+$D18)</f>
        <v>1.35769678170426</v>
      </c>
      <c r="M18" s="172">
        <f>M19*(1+$D18)</f>
        <v>1.46895981715301</v>
      </c>
      <c r="N18" s="172">
        <f>N19*(1+$D18)</f>
        <v>1.52099778967141</v>
      </c>
      <c r="O18" s="172">
        <f>O19*(1+$D18)</f>
        <v>1.69433541100757</v>
      </c>
      <c r="P18" s="172">
        <f>P19*(1+$D18)</f>
        <v>1.7461685979558</v>
      </c>
      <c r="Q18" s="172">
        <f>Q19*(1+$D18)</f>
        <v>1.79938043618007</v>
      </c>
      <c r="R18" s="172">
        <f>R19*(1+$D18)</f>
        <v>2.0802041372389</v>
      </c>
      <c r="S18" s="172">
        <f>S19*(1+$D18)</f>
        <v>2.16627300911751</v>
      </c>
      <c r="T18" s="246" t="s">
        <v>365</v>
      </c>
      <c r="U18" s="239">
        <f>(AI18-$C$7)/$C$7</f>
        <v>0.0164990109785061</v>
      </c>
      <c r="V18" s="240">
        <f>V19+1</f>
        <v>2017</v>
      </c>
      <c r="W18" s="247">
        <v>138.035</v>
      </c>
      <c r="X18" s="247">
        <v>138.403</v>
      </c>
      <c r="Y18" s="247">
        <v>138.461</v>
      </c>
      <c r="Z18" s="247">
        <v>138.81</v>
      </c>
      <c r="AA18" s="247">
        <v>138.922</v>
      </c>
      <c r="AB18" s="247">
        <v>138.989</v>
      </c>
      <c r="AC18" s="247">
        <v>138.755</v>
      </c>
      <c r="AD18" s="247">
        <v>139.128</v>
      </c>
      <c r="AE18" s="247">
        <v>139.878</v>
      </c>
      <c r="AF18" s="248">
        <v>139.782</v>
      </c>
      <c r="AG18" s="242">
        <v>139.72</v>
      </c>
      <c r="AH18" s="242">
        <v>139.546</v>
      </c>
      <c r="AI18" s="233">
        <f>(SUM(AE19:AH19)+SUM(W18:AD18))/12</f>
        <v>138.23675</v>
      </c>
    </row>
    <row r="19" ht="12.75" customHeight="1" spans="1:35" x14ac:dyDescent="0.25">
      <c r="A19" s="234">
        <f>A20+1</f>
        <v>2017</v>
      </c>
      <c r="B19" s="235">
        <f>SUM(AE20, AF20,AG20,AH20,W19,X19,Y19,Z19,AA19,AB19,AC19,AD19)/12</f>
        <v>238.649</v>
      </c>
      <c r="C19" s="236">
        <f>U19</f>
        <v>0.00802573190232829</v>
      </c>
      <c r="D19" s="237">
        <f>C19</f>
        <v>0.00802573190232829</v>
      </c>
      <c r="E19" s="207"/>
      <c r="F19" s="207"/>
      <c r="G19" s="245">
        <v>1</v>
      </c>
      <c r="H19" s="172">
        <f>H20*(1+$D19)</f>
        <v>1.04602064509625</v>
      </c>
      <c r="I19" s="172">
        <f>I20*(1+$D19)</f>
        <v>1.07290526339451</v>
      </c>
      <c r="J19" s="172">
        <f>J20*(1+$D19)</f>
        <v>1.09893824116189</v>
      </c>
      <c r="K19" s="172">
        <f>K20*(1+$D19)</f>
        <v>1.1648659532148</v>
      </c>
      <c r="L19" s="172">
        <f>L20*(1+$D19)</f>
        <v>1.33565971736393</v>
      </c>
      <c r="M19" s="172">
        <f>M20*(1+$D19)</f>
        <v>1.44511681889287</v>
      </c>
      <c r="N19" s="172">
        <f>N20*(1+$D19)</f>
        <v>1.49631015204556</v>
      </c>
      <c r="O19" s="172">
        <f>O20*(1+$D19)</f>
        <v>1.66683429369653</v>
      </c>
      <c r="P19" s="172">
        <f>P20*(1+$D19)</f>
        <v>1.71782616519705</v>
      </c>
      <c r="Q19" s="172">
        <f>Q20*(1+$D19)</f>
        <v>1.77017431079243</v>
      </c>
      <c r="R19" s="172">
        <f>R20*(1+$D19)</f>
        <v>2.04643990281549</v>
      </c>
      <c r="S19" s="172">
        <f>S20*(1+$D19)</f>
        <v>2.13111177258521</v>
      </c>
      <c r="T19" s="238">
        <f>T20+1</f>
        <v>2017</v>
      </c>
      <c r="U19" s="249">
        <f>(AI19-AI20)/AI20</f>
        <v>0.00802573190232829</v>
      </c>
      <c r="V19" s="240">
        <f>V20+1</f>
        <v>2016</v>
      </c>
      <c r="W19" s="250">
        <v>236.916</v>
      </c>
      <c r="X19" s="250">
        <v>237.111</v>
      </c>
      <c r="Y19" s="250">
        <v>238.132</v>
      </c>
      <c r="Z19" s="250">
        <v>239.261</v>
      </c>
      <c r="AA19" s="250">
        <v>240.229</v>
      </c>
      <c r="AB19" s="250">
        <v>241.018</v>
      </c>
      <c r="AC19" s="250">
        <v>240.628</v>
      </c>
      <c r="AD19" s="250">
        <v>240.849</v>
      </c>
      <c r="AE19" s="250">
        <v>137.328</v>
      </c>
      <c r="AF19" s="247">
        <v>137.536</v>
      </c>
      <c r="AG19" s="247">
        <v>137.253</v>
      </c>
      <c r="AH19" s="247">
        <v>137.221</v>
      </c>
      <c r="AI19" s="251">
        <f>(SUM(AE20:AH20)+SUM(W19:AD19))/12</f>
        <v>238.649</v>
      </c>
    </row>
    <row r="20" ht="12.75" customHeight="1" spans="1:35" x14ac:dyDescent="0.25">
      <c r="A20" s="234">
        <f>A21+1</f>
        <v>2016</v>
      </c>
      <c r="B20" s="235">
        <f>SUM(AE21, AF21,AG21,AH21,W20,X20,Y20,Z20,AA20,AB20,AC20,AD20)/12</f>
        <v>236.748916666667</v>
      </c>
      <c r="C20" s="236">
        <f>U20</f>
        <v>0.00451414670711628</v>
      </c>
      <c r="D20" s="237">
        <f>C20</f>
        <v>0.00451414670711628</v>
      </c>
      <c r="E20" s="207"/>
      <c r="F20" s="207"/>
      <c r="G20" s="207"/>
      <c r="H20" s="172">
        <f>H21*(1+$D20)</f>
        <v>1.03769240406415</v>
      </c>
      <c r="I20" s="172">
        <f>I21*(1+$D20)</f>
        <v>1.06436297153818</v>
      </c>
      <c r="J20" s="172">
        <f>J21*(1+$D20)</f>
        <v>1.09018867910048</v>
      </c>
      <c r="K20" s="172">
        <f>K21*(1+$D20)</f>
        <v>1.15559148576147</v>
      </c>
      <c r="L20" s="172">
        <f>L21*(1+$D20)</f>
        <v>1.32502541859055</v>
      </c>
      <c r="M20" s="172">
        <f>M21*(1+$D20)</f>
        <v>1.43361104102538</v>
      </c>
      <c r="N20" s="172">
        <f>N21*(1+$D20)</f>
        <v>1.48439678144104</v>
      </c>
      <c r="O20" s="172">
        <f>O21*(1+$D20)</f>
        <v>1.65356323846109</v>
      </c>
      <c r="P20" s="172">
        <f>P21*(1+$D20)</f>
        <v>1.70414912122848</v>
      </c>
      <c r="Q20" s="172">
        <f>Q21*(1+$D20)</f>
        <v>1.75608047966374</v>
      </c>
      <c r="R20" s="172">
        <f>R21*(1+$D20)</f>
        <v>2.03014649135344</v>
      </c>
      <c r="S20" s="172">
        <f>S21*(1+$D20)</f>
        <v>2.11414421788957</v>
      </c>
      <c r="T20" s="238">
        <f>T21+1</f>
        <v>2016</v>
      </c>
      <c r="U20" s="249">
        <f>(AI20-AI21)/AI21</f>
        <v>0.00451414670711628</v>
      </c>
      <c r="V20" s="240">
        <f>V21+1</f>
        <v>2015</v>
      </c>
      <c r="W20" s="252">
        <v>233.707</v>
      </c>
      <c r="X20" s="252">
        <v>234.722</v>
      </c>
      <c r="Y20" s="252">
        <v>236.119</v>
      </c>
      <c r="Z20" s="252">
        <v>236.599</v>
      </c>
      <c r="AA20" s="252">
        <v>237.805</v>
      </c>
      <c r="AB20" s="252">
        <v>238.638</v>
      </c>
      <c r="AC20" s="252">
        <v>238.654</v>
      </c>
      <c r="AD20" s="252">
        <v>238.316</v>
      </c>
      <c r="AE20" s="252">
        <v>237.945</v>
      </c>
      <c r="AF20" s="250">
        <v>237.838</v>
      </c>
      <c r="AG20" s="250">
        <v>237.336</v>
      </c>
      <c r="AH20" s="250">
        <v>236.525</v>
      </c>
      <c r="AI20" s="251">
        <f>(SUM(AE21:AH21)+SUM(W20:AD20))/12</f>
        <v>236.748916666667</v>
      </c>
    </row>
    <row r="21" ht="12.75" customHeight="1" spans="1:35" x14ac:dyDescent="0.25">
      <c r="A21" s="234">
        <f>A22+1</f>
        <v>2015</v>
      </c>
      <c r="B21" s="235">
        <f>SUM(AE22, AF22,AG22,AH22,W21,X21,Y21,Z21,AA21,AB21,AC21,AD21)/12</f>
        <v>235.685</v>
      </c>
      <c r="C21" s="236">
        <f>U21</f>
        <v>0.0158040785599403</v>
      </c>
      <c r="D21" s="237">
        <f>C21</f>
        <v>0.0158040785599403</v>
      </c>
      <c r="E21" s="207"/>
      <c r="F21" s="207"/>
      <c r="G21" s="207"/>
      <c r="H21" s="172">
        <f>H22*(1+$D21)</f>
        <v>1.0330291588882</v>
      </c>
      <c r="I21" s="172">
        <f>I22*(1+$D21)</f>
        <v>1.0595798725456</v>
      </c>
      <c r="J21" s="172">
        <f>J22*(1+$D21)</f>
        <v>1.08528952297408</v>
      </c>
      <c r="K21" s="172">
        <f>K22*(1+$D21)</f>
        <v>1.1503984185286</v>
      </c>
      <c r="L21" s="172">
        <f>L22*(1+$D21)</f>
        <v>1.31907093885546</v>
      </c>
      <c r="M21" s="172">
        <f>M22*(1+$D21)</f>
        <v>1.4271685926225</v>
      </c>
      <c r="N21" s="172">
        <f>N22*(1+$D21)</f>
        <v>1.47772610899211</v>
      </c>
      <c r="O21" s="172">
        <f>O22*(1+$D21)</f>
        <v>1.64613235550899</v>
      </c>
      <c r="P21" s="172">
        <f>P22*(1+$D21)</f>
        <v>1.69649091236279</v>
      </c>
      <c r="Q21" s="172">
        <f>Q22*(1+$D21)</f>
        <v>1.74818889850414</v>
      </c>
      <c r="R21" s="172">
        <f>R22*(1+$D21)</f>
        <v>2.02102329569816</v>
      </c>
      <c r="S21" s="172">
        <f>S22*(1+$D21)</f>
        <v>2.10464354814705</v>
      </c>
      <c r="T21" s="238">
        <f>T22+1</f>
        <v>2015</v>
      </c>
      <c r="U21" s="249">
        <f>(AI21-AI22)/AI22</f>
        <v>0.0158040785599403</v>
      </c>
      <c r="V21" s="240">
        <f>V22+1</f>
        <v>2014</v>
      </c>
      <c r="W21" s="253">
        <v>233.916</v>
      </c>
      <c r="X21" s="253">
        <v>234.781</v>
      </c>
      <c r="Y21" s="253">
        <v>236.293</v>
      </c>
      <c r="Z21" s="253">
        <v>237.072</v>
      </c>
      <c r="AA21" s="254">
        <v>237.9</v>
      </c>
      <c r="AB21" s="253">
        <v>238.343</v>
      </c>
      <c r="AC21" s="254">
        <v>238.25</v>
      </c>
      <c r="AD21" s="253">
        <v>237.852</v>
      </c>
      <c r="AE21" s="253">
        <v>238.031</v>
      </c>
      <c r="AF21" s="252">
        <v>237.433</v>
      </c>
      <c r="AG21" s="252">
        <v>236.151</v>
      </c>
      <c r="AH21" s="252">
        <v>234.812</v>
      </c>
      <c r="AI21" s="251">
        <f>(SUM(AE22:AH22)+SUM(W21:AD21))/12</f>
        <v>235.685</v>
      </c>
    </row>
    <row r="22" ht="12.75" customHeight="1" spans="1:35" x14ac:dyDescent="0.25">
      <c r="A22" s="234">
        <f>A23+1</f>
        <v>2014</v>
      </c>
      <c r="B22" s="235">
        <f>SUM(AE23, AF23,AG23,AH23,W22,X22,Y22,Z22,AA22,AB22,AC22,AD22)/12</f>
        <v>232.018166666667</v>
      </c>
      <c r="C22" s="236">
        <f>U22</f>
        <v>0.0169570891590415</v>
      </c>
      <c r="D22" s="237">
        <f>C22</f>
        <v>0.0169570891590415</v>
      </c>
      <c r="E22" s="227"/>
      <c r="F22" s="227"/>
      <c r="G22" s="227"/>
      <c r="H22" s="172">
        <f>H23*(1+$D22)</f>
        <v>1.01695708915904</v>
      </c>
      <c r="I22" s="172">
        <f>I23*(1+$D22)</f>
        <v>1.04309472161967</v>
      </c>
      <c r="J22" s="172">
        <f>J23*(1+$D22)</f>
        <v>1.0684043762776</v>
      </c>
      <c r="K22" s="172">
        <f>K23*(1+$D22)</f>
        <v>1.13250029489886</v>
      </c>
      <c r="L22" s="172">
        <f>L23*(1+$D22)</f>
        <v>1.29854857515974</v>
      </c>
      <c r="M22" s="172">
        <f>M23*(1+$D22)</f>
        <v>1.40496442448403</v>
      </c>
      <c r="N22" s="172">
        <f>N23*(1+$D22)</f>
        <v>1.4547353571242</v>
      </c>
      <c r="O22" s="172">
        <f>O23*(1+$D22)</f>
        <v>1.62052150631512</v>
      </c>
      <c r="P22" s="172">
        <f>P23*(1+$D22)</f>
        <v>1.67009657489053</v>
      </c>
      <c r="Q22" s="172">
        <f>Q23*(1+$D22)</f>
        <v>1.72099023365064</v>
      </c>
      <c r="R22" s="172">
        <f>R23*(1+$D22)</f>
        <v>1.98957981992282</v>
      </c>
      <c r="S22" s="172">
        <f>S23*(1+$D22)</f>
        <v>2.0718990921268</v>
      </c>
      <c r="T22" s="238">
        <f>T23+1</f>
        <v>2014</v>
      </c>
      <c r="U22" s="249">
        <f>(AI22-AI23)/AI23</f>
        <v>0.0169570891590415</v>
      </c>
      <c r="V22" s="240">
        <f>V23+1</f>
        <v>2013</v>
      </c>
      <c r="W22" s="255">
        <v>230.28</v>
      </c>
      <c r="X22" s="252">
        <v>232.166</v>
      </c>
      <c r="Y22" s="252">
        <v>232.773</v>
      </c>
      <c r="Z22" s="252">
        <v>232.531</v>
      </c>
      <c r="AA22" s="252">
        <v>232.945</v>
      </c>
      <c r="AB22" s="252">
        <v>233.504</v>
      </c>
      <c r="AC22" s="252">
        <v>233.596</v>
      </c>
      <c r="AD22" s="252">
        <v>233.877</v>
      </c>
      <c r="AE22" s="252">
        <v>234.149</v>
      </c>
      <c r="AF22" s="253">
        <v>233.546</v>
      </c>
      <c r="AG22" s="253">
        <v>233.069</v>
      </c>
      <c r="AH22" s="252">
        <v>233.049</v>
      </c>
      <c r="AI22" s="251">
        <f>(SUM(AE23:AH23)+SUM(W22:AD22))/12</f>
        <v>232.018166666667</v>
      </c>
    </row>
    <row r="23" ht="12.75" customHeight="1" spans="1:35" x14ac:dyDescent="0.25">
      <c r="A23" s="234">
        <f>A24+1</f>
        <v>2013</v>
      </c>
      <c r="B23" s="235">
        <f>SUM(AE24, AF24,AG24,AH24,W23,X23,Y23,Z23,AA23,AB23,AC23,AD23)/12</f>
        <v>228.149416666667</v>
      </c>
      <c r="C23" s="236">
        <f>U23</f>
        <v>0.0257018046673335</v>
      </c>
      <c r="D23" s="237">
        <f>C23</f>
        <v>0.0257018046673335</v>
      </c>
      <c r="E23" s="227"/>
      <c r="F23" s="227"/>
      <c r="G23" s="227"/>
      <c r="H23" s="256">
        <v>1</v>
      </c>
      <c r="I23" s="172">
        <f>I24*(1+$D23)</f>
        <v>1.02570180466733</v>
      </c>
      <c r="J23" s="172">
        <f>J24*(1+$D23)</f>
        <v>1.05058943751609</v>
      </c>
      <c r="K23" s="172">
        <f>K24*(1+$D23)</f>
        <v>1.11361659894162</v>
      </c>
      <c r="L23" s="172">
        <f>L24*(1+$D23)</f>
        <v>1.27689613357586</v>
      </c>
      <c r="M23" s="172">
        <f>M24*(1+$D23)</f>
        <v>1.3815375687541</v>
      </c>
      <c r="N23" s="172">
        <f>N24*(1+$D23)</f>
        <v>1.4304786038978</v>
      </c>
      <c r="O23" s="172">
        <f>O24*(1+$D23)</f>
        <v>1.59350037832489</v>
      </c>
      <c r="P23" s="172">
        <f>P24*(1+$D23)</f>
        <v>1.64224881530802</v>
      </c>
      <c r="Q23" s="172">
        <f>Q24*(1+$D23)</f>
        <v>1.69229385585363</v>
      </c>
      <c r="R23" s="172">
        <f>R24*(1+$D23)</f>
        <v>1.95640488780906</v>
      </c>
      <c r="S23" s="172">
        <f>S24*(1+$D23)</f>
        <v>2.0373515404078</v>
      </c>
      <c r="T23" s="238">
        <f>T24+1</f>
        <v>2013</v>
      </c>
      <c r="U23" s="249">
        <f>(AI23-AI24)/AI24</f>
        <v>0.0257018046673335</v>
      </c>
      <c r="V23" s="240">
        <f>V24+1</f>
        <v>2012</v>
      </c>
      <c r="W23" s="252">
        <v>226.665</v>
      </c>
      <c r="X23" s="252">
        <v>227.663</v>
      </c>
      <c r="Y23" s="252">
        <v>229.392</v>
      </c>
      <c r="Z23" s="252">
        <v>230.085</v>
      </c>
      <c r="AA23" s="252">
        <v>229.815</v>
      </c>
      <c r="AB23" s="252">
        <v>229.478</v>
      </c>
      <c r="AC23" s="252">
        <v>229.104</v>
      </c>
      <c r="AD23" s="252">
        <v>230.379</v>
      </c>
      <c r="AE23" s="252">
        <v>231.407</v>
      </c>
      <c r="AF23" s="252">
        <v>231.317</v>
      </c>
      <c r="AG23" s="252">
        <v>230.221</v>
      </c>
      <c r="AH23" s="252">
        <v>229.601</v>
      </c>
      <c r="AI23" s="251">
        <f>(SUM(AE24:AH24)+SUM(W23:AD23))/12</f>
        <v>228.149416666667</v>
      </c>
    </row>
    <row r="24" ht="12.75" customHeight="1" spans="1:35" x14ac:dyDescent="0.25">
      <c r="A24" s="234">
        <f>A25+1</f>
        <v>2012</v>
      </c>
      <c r="B24" s="235">
        <f>SUM(AE25, AF25,AG25,AH25,W24,X24,Y24,Z24,AA24,AB24,AC24,AD24)/12</f>
        <v>222.4325</v>
      </c>
      <c r="C24" s="236">
        <f>U24</f>
        <v>0.0242640041535574</v>
      </c>
      <c r="D24" s="237">
        <f>C24</f>
        <v>0.0242640041535574</v>
      </c>
      <c r="E24" s="172"/>
      <c r="F24" s="172"/>
      <c r="G24" s="172"/>
      <c r="H24" s="172"/>
      <c r="I24" s="256">
        <v>1</v>
      </c>
      <c r="J24" s="172">
        <f>J25*(1+$D24)</f>
        <v>1.02426400415356</v>
      </c>
      <c r="K24" s="172">
        <f>K25*(1+$D24)</f>
        <v>1.085711845172</v>
      </c>
      <c r="L24" s="172">
        <f>L25*(1+$D24)</f>
        <v>1.24489995802435</v>
      </c>
      <c r="M24" s="172">
        <f>M25*(1+$D24)</f>
        <v>1.34691931170207</v>
      </c>
      <c r="N24" s="172">
        <f>N25*(1+$D24)</f>
        <v>1.39463399341658</v>
      </c>
      <c r="O24" s="172">
        <f>O25*(1+$D24)</f>
        <v>1.55357080495897</v>
      </c>
      <c r="P24" s="172">
        <f>P25*(1+$D24)</f>
        <v>1.60109771459421</v>
      </c>
      <c r="Q24" s="172">
        <f>Q25*(1+$D24)</f>
        <v>1.64988873779206</v>
      </c>
      <c r="R24" s="172">
        <f>R25*(1+$D24)</f>
        <v>1.9073817350293</v>
      </c>
      <c r="S24" s="172">
        <f>S25*(1+$D24)</f>
        <v>1.9863000446495</v>
      </c>
      <c r="T24" s="238">
        <f>T25+1</f>
        <v>2012</v>
      </c>
      <c r="U24" s="249">
        <f>(AI24-AI25)/AI25</f>
        <v>0.0242640041535574</v>
      </c>
      <c r="V24" s="240">
        <f>V25+1</f>
        <v>2011</v>
      </c>
      <c r="W24" s="252">
        <v>220.223</v>
      </c>
      <c r="X24" s="252">
        <v>221.309</v>
      </c>
      <c r="Y24" s="252">
        <v>223.467</v>
      </c>
      <c r="Z24" s="252">
        <v>224.906</v>
      </c>
      <c r="AA24" s="252">
        <v>225.964</v>
      </c>
      <c r="AB24" s="252">
        <v>225.722</v>
      </c>
      <c r="AC24" s="252">
        <v>225.922</v>
      </c>
      <c r="AD24" s="252">
        <v>226.545</v>
      </c>
      <c r="AE24" s="252">
        <v>226.889</v>
      </c>
      <c r="AF24" s="252">
        <v>226.421</v>
      </c>
      <c r="AG24" s="255">
        <v>226.23</v>
      </c>
      <c r="AH24" s="252">
        <v>225.672</v>
      </c>
      <c r="AI24" s="251">
        <f>(SUM(AE25:AH25)+SUM(W24:AD24))/12</f>
        <v>222.4325</v>
      </c>
    </row>
    <row r="25" ht="12.75" customHeight="1" spans="1:35" x14ac:dyDescent="0.25">
      <c r="A25" s="234">
        <f>A26+1</f>
        <v>2011</v>
      </c>
      <c r="B25" s="235">
        <f>SUM(AE26, AF26,AG26,AH26,W25,X25,Y25,Z25,AA25,AB25,AC25,AD25)/12</f>
        <v>217.16325</v>
      </c>
      <c r="C25" s="236">
        <f>U25</f>
        <v>0.0147704775804623</v>
      </c>
      <c r="D25" s="237">
        <f>C25</f>
        <v>0.0147704775804623</v>
      </c>
      <c r="E25" s="172"/>
      <c r="F25" s="172"/>
      <c r="G25" s="172"/>
      <c r="H25" s="257"/>
      <c r="I25" s="257"/>
      <c r="J25" s="256">
        <v>1</v>
      </c>
      <c r="K25" s="172">
        <f>K26*(1+$D25)</f>
        <v>1.05999219026468</v>
      </c>
      <c r="L25" s="172">
        <f>L26*(1+$D25)</f>
        <v>1.21540926262768</v>
      </c>
      <c r="M25" s="172">
        <f>M26*(1+$D25)</f>
        <v>1.31501185850532</v>
      </c>
      <c r="N25" s="172">
        <f>N26*(1+$D25)</f>
        <v>1.36159621714823</v>
      </c>
      <c r="O25" s="172">
        <f>O26*(1+$D25)</f>
        <v>1.51676794133054</v>
      </c>
      <c r="P25" s="172">
        <f>P26*(1+$D25)</f>
        <v>1.56316897606622</v>
      </c>
      <c r="Q25" s="172">
        <f>Q26*(1+$D25)</f>
        <v>1.61080417851403</v>
      </c>
      <c r="R25" s="172">
        <f>R26*(1+$D25)</f>
        <v>1.86219737030156</v>
      </c>
      <c r="S25" s="172">
        <f>S26*(1+$D25)</f>
        <v>1.93924616758446</v>
      </c>
      <c r="T25" s="238">
        <f>T26+1</f>
        <v>2011</v>
      </c>
      <c r="U25" s="249">
        <f>(AI25-AI26)/AI26</f>
        <v>0.0147704775804623</v>
      </c>
      <c r="V25" s="240">
        <f>V26+1</f>
        <v>2010</v>
      </c>
      <c r="W25" s="252">
        <v>216.687</v>
      </c>
      <c r="X25" s="252">
        <v>216.741</v>
      </c>
      <c r="Y25" s="252">
        <v>217.631</v>
      </c>
      <c r="Z25" s="252">
        <v>218.009</v>
      </c>
      <c r="AA25" s="252">
        <v>218.178</v>
      </c>
      <c r="AB25" s="252">
        <v>217.965</v>
      </c>
      <c r="AC25" s="252">
        <v>218.011</v>
      </c>
      <c r="AD25" s="252">
        <v>218.312</v>
      </c>
      <c r="AE25" s="252">
        <v>218.439</v>
      </c>
      <c r="AF25" s="255">
        <v>218.711</v>
      </c>
      <c r="AG25" s="255">
        <v>218.803</v>
      </c>
      <c r="AH25" s="252">
        <v>219.179</v>
      </c>
      <c r="AI25" s="251">
        <f>(SUM(AE26:AH26)+SUM(W25:AD25))/12</f>
        <v>217.16325</v>
      </c>
    </row>
    <row r="26" ht="12.75" customHeight="1" spans="1:35" x14ac:dyDescent="0.25">
      <c r="A26" s="234">
        <f>A27+1</f>
        <v>2010</v>
      </c>
      <c r="B26" s="235">
        <f>SUM(AE27, AF27,AG27,AH27,W26,X26,Y26,Z26,AA26,AB26,AC26,AD26)/12</f>
        <v>214.002333333333</v>
      </c>
      <c r="C26" s="236">
        <f>U26</f>
        <v>0.00186013123912519</v>
      </c>
      <c r="D26" s="237">
        <f>C26</f>
        <v>0.00186013123912519</v>
      </c>
      <c r="E26" s="172"/>
      <c r="F26" s="172"/>
      <c r="G26" s="172"/>
      <c r="H26" s="172"/>
      <c r="I26" s="172"/>
      <c r="J26" s="172"/>
      <c r="K26" s="172">
        <f>K27*(1+$D26)</f>
        <v>1.04456348867385</v>
      </c>
      <c r="L26" s="172">
        <f>L27*(1+$D26)</f>
        <v>1.19771839000047</v>
      </c>
      <c r="M26" s="172">
        <f>M27*(1+$D26)</f>
        <v>1.29587122167836</v>
      </c>
      <c r="N26" s="172">
        <f>N27*(1+$D26)</f>
        <v>1.34177752233659</v>
      </c>
      <c r="O26" s="172">
        <f>O27*(1+$D26)</f>
        <v>1.49469064664455</v>
      </c>
      <c r="P26" s="172">
        <f>P27*(1+$D26)</f>
        <v>1.54041629176414</v>
      </c>
      <c r="Q26" s="172">
        <f>Q27*(1+$D26)</f>
        <v>1.58735814068488</v>
      </c>
      <c r="R26" s="172">
        <f>R27*(1+$D26)</f>
        <v>1.83509218236387</v>
      </c>
      <c r="S26" s="172">
        <f>S27*(1+$D26)</f>
        <v>1.91101949694895</v>
      </c>
      <c r="T26" s="238">
        <f>T27+1</f>
        <v>2010</v>
      </c>
      <c r="U26" s="249">
        <f>(AI26-AI27)/AI27</f>
        <v>0.00186013123912519</v>
      </c>
      <c r="V26" s="240">
        <f>V27+1</f>
        <v>2009</v>
      </c>
      <c r="W26" s="255">
        <v>211.143</v>
      </c>
      <c r="X26" s="255">
        <v>212.193</v>
      </c>
      <c r="Y26" s="255">
        <v>212.709</v>
      </c>
      <c r="Z26" s="255">
        <v>213.24</v>
      </c>
      <c r="AA26" s="255">
        <v>213.856</v>
      </c>
      <c r="AB26" s="255">
        <v>215.693</v>
      </c>
      <c r="AC26" s="255">
        <v>215.351</v>
      </c>
      <c r="AD26" s="255">
        <v>215.834</v>
      </c>
      <c r="AE26" s="255">
        <v>215.969</v>
      </c>
      <c r="AF26" s="252">
        <v>216.177</v>
      </c>
      <c r="AG26" s="255">
        <v>216.33</v>
      </c>
      <c r="AH26" s="252">
        <v>215.949</v>
      </c>
      <c r="AI26" s="251">
        <f>(SUM(AE27:AH27)+SUM(W26:AD26))/12</f>
        <v>214.002333333333</v>
      </c>
    </row>
    <row r="27" ht="12.75" customHeight="1" spans="1:35" x14ac:dyDescent="0.25">
      <c r="A27" s="234">
        <f>A28+1</f>
        <v>2009</v>
      </c>
      <c r="B27" s="235">
        <f>SUM(AE28, AF28,AG28,AH28,W27,X27,Y27,Z27,AA27,AB27,AC27,AD27)/12</f>
        <v>213.605</v>
      </c>
      <c r="C27" s="236">
        <f>U27</f>
        <v>0.0426240710685914</v>
      </c>
      <c r="D27" s="237">
        <f>C27</f>
        <v>0.0426240710685914</v>
      </c>
      <c r="E27" s="172"/>
      <c r="F27" s="172"/>
      <c r="G27" s="172"/>
      <c r="H27" s="172"/>
      <c r="I27" s="172"/>
      <c r="J27" s="172"/>
      <c r="K27" s="172">
        <f>K28*(1+$D27)</f>
        <v>1.04262407106859</v>
      </c>
      <c r="L27" s="172">
        <f>L28*(1+$D27)</f>
        <v>1.19549461312439</v>
      </c>
      <c r="M27" s="172">
        <f>M28*(1+$D27)</f>
        <v>1.29346520664076</v>
      </c>
      <c r="N27" s="172">
        <f>N28*(1+$D27)</f>
        <v>1.33928627410001</v>
      </c>
      <c r="O27" s="172">
        <f>O28*(1+$D27)</f>
        <v>1.49191548803911</v>
      </c>
      <c r="P27" s="172">
        <f>P28*(1+$D27)</f>
        <v>1.5375562353788</v>
      </c>
      <c r="Q27" s="172">
        <f>Q28*(1+$D27)</f>
        <v>1.58441092842131</v>
      </c>
      <c r="R27" s="172">
        <f>R28*(1+$D27)</f>
        <v>1.83168500786051</v>
      </c>
      <c r="S27" s="172">
        <f>S28*(1+$D27)</f>
        <v>1.90747134990326</v>
      </c>
      <c r="T27" s="238">
        <f>T28+1</f>
        <v>2009</v>
      </c>
      <c r="U27" s="249">
        <f>(AI27-AI28)/AI28</f>
        <v>0.0426240710685914</v>
      </c>
      <c r="V27" s="240">
        <f>V28+1</f>
        <v>2008</v>
      </c>
      <c r="W27" s="255">
        <v>211.08</v>
      </c>
      <c r="X27" s="255">
        <v>211.693</v>
      </c>
      <c r="Y27" s="255">
        <v>213.528</v>
      </c>
      <c r="Z27" s="255">
        <v>214.823</v>
      </c>
      <c r="AA27" s="255">
        <v>216.632</v>
      </c>
      <c r="AB27" s="255">
        <v>218.815</v>
      </c>
      <c r="AC27" s="255">
        <v>219.964</v>
      </c>
      <c r="AD27" s="255">
        <v>219.086</v>
      </c>
      <c r="AE27" s="255">
        <v>218.783</v>
      </c>
      <c r="AF27" s="255">
        <v>216.573</v>
      </c>
      <c r="AG27" s="255">
        <v>212.425</v>
      </c>
      <c r="AH27" s="255">
        <v>210.228</v>
      </c>
      <c r="AI27" s="251">
        <f>(SUM(AE28:AH28)+SUM(W27:AD27))/12</f>
        <v>213.605</v>
      </c>
    </row>
    <row r="28" ht="12.75" customHeight="1" spans="1:35" x14ac:dyDescent="0.25">
      <c r="A28" s="234">
        <f>A29+1</f>
        <v>2008</v>
      </c>
      <c r="B28" s="235">
        <f>SUM(AE29, AF29,AG29,AH29,W28,X28,Y28,Z28,AA28,AB28,AC28,AD28)/12</f>
        <v>204.8725</v>
      </c>
      <c r="C28" s="236">
        <f>U28</f>
        <v>0.0228708133971294</v>
      </c>
      <c r="D28" s="237">
        <f>C28</f>
        <v>0.0228708133971294</v>
      </c>
      <c r="E28" s="172"/>
      <c r="F28" s="172"/>
      <c r="G28" s="172"/>
      <c r="H28" s="172"/>
      <c r="I28" s="172"/>
      <c r="J28" s="257"/>
      <c r="K28" s="256">
        <v>1</v>
      </c>
      <c r="L28" s="172">
        <f>L29*(1+$D28)</f>
        <v>1.14662095984329</v>
      </c>
      <c r="M28" s="172">
        <f>M29*(1+$D28)</f>
        <v>1.24058636524196</v>
      </c>
      <c r="N28" s="172">
        <f>N29*(1+$D28)</f>
        <v>1.28453419718899</v>
      </c>
      <c r="O28" s="172">
        <f>O29*(1+$D28)</f>
        <v>1.43092369477912</v>
      </c>
      <c r="P28" s="172">
        <f>P29*(1+$D28)</f>
        <v>1.47469857836962</v>
      </c>
      <c r="Q28" s="172">
        <f>Q29*(1+$D28)</f>
        <v>1.51963777970083</v>
      </c>
      <c r="R28" s="172">
        <f>R29*(1+$D28)</f>
        <v>1.75680291553523</v>
      </c>
      <c r="S28" s="172">
        <f>S29*(1+$D28)</f>
        <v>1.82949099568388</v>
      </c>
      <c r="T28" s="238">
        <f>T29+1</f>
        <v>2008</v>
      </c>
      <c r="U28" s="249">
        <f>(AI28-AI29)/AI29</f>
        <v>0.0228708133971294</v>
      </c>
      <c r="V28" s="240">
        <f>V29+1</f>
        <v>2007</v>
      </c>
      <c r="W28" s="255">
        <v>202.416</v>
      </c>
      <c r="X28" s="255">
        <v>203.499</v>
      </c>
      <c r="Y28" s="255">
        <v>205.352</v>
      </c>
      <c r="Z28" s="255">
        <v>206.686</v>
      </c>
      <c r="AA28" s="255">
        <v>207.949</v>
      </c>
      <c r="AB28" s="255">
        <v>208.352</v>
      </c>
      <c r="AC28" s="255">
        <v>208.299</v>
      </c>
      <c r="AD28" s="255">
        <v>207.917</v>
      </c>
      <c r="AE28" s="255">
        <v>208.49</v>
      </c>
      <c r="AF28" s="255">
        <v>208.936</v>
      </c>
      <c r="AG28" s="255">
        <v>210.177</v>
      </c>
      <c r="AH28" s="255">
        <v>210.036</v>
      </c>
      <c r="AI28" s="251">
        <f>(SUM(AE29:AH29)+SUM(W28:AD28))/12</f>
        <v>204.8725</v>
      </c>
    </row>
    <row r="29" ht="12.75" customHeight="1" spans="1:35" x14ac:dyDescent="0.25">
      <c r="A29" s="234">
        <f>A30+1</f>
        <v>2007</v>
      </c>
      <c r="B29" s="235">
        <f>SUM(AE30, AF30,AG30,AH30,W29,X29,Y29,Z29,AA29,AB29,AC29,AD29)/12</f>
        <v>200.291666666667</v>
      </c>
      <c r="C29" s="236">
        <f>U29</f>
        <v>0.0390368320940689</v>
      </c>
      <c r="D29" s="237">
        <f>C29</f>
        <v>0.0390368320940689</v>
      </c>
      <c r="E29" s="172"/>
      <c r="F29" s="172"/>
      <c r="G29" s="172"/>
      <c r="H29" s="172"/>
      <c r="I29" s="172"/>
      <c r="J29" s="172"/>
      <c r="K29" s="257"/>
      <c r="L29" s="172">
        <f>L30*(1+$D29)</f>
        <v>1.12098316309874</v>
      </c>
      <c r="M29" s="172">
        <f>M30*(1+$D29)</f>
        <v>1.21284755512943</v>
      </c>
      <c r="N29" s="172">
        <f>N30*(1+$D29)</f>
        <v>1.25581273838759</v>
      </c>
      <c r="O29" s="172">
        <f>O30*(1+$D29)</f>
        <v>1.39892904953146</v>
      </c>
      <c r="P29" s="172">
        <f>P30*(1+$D29)</f>
        <v>1.44172515146062</v>
      </c>
      <c r="Q29" s="172">
        <f>Q30*(1+$D29)</f>
        <v>1.48565953764371</v>
      </c>
      <c r="R29" s="172">
        <f>R30*(1+$D29)</f>
        <v>1.71752179505502</v>
      </c>
      <c r="S29" s="172">
        <f>S30*(1+$D29)</f>
        <v>1.78858461080518</v>
      </c>
      <c r="T29" s="238">
        <f>T30+1</f>
        <v>2007</v>
      </c>
      <c r="U29" s="249">
        <f>(AI29-AI30)/AI30</f>
        <v>0.0390368320940689</v>
      </c>
      <c r="V29" s="240">
        <f>V30+1</f>
        <v>2006</v>
      </c>
      <c r="W29" s="252">
        <v>198.3</v>
      </c>
      <c r="X29" s="252">
        <v>198.7</v>
      </c>
      <c r="Y29" s="252">
        <v>199.8</v>
      </c>
      <c r="Z29" s="252">
        <v>201.5</v>
      </c>
      <c r="AA29" s="252">
        <v>202.5</v>
      </c>
      <c r="AB29" s="252">
        <v>202.9</v>
      </c>
      <c r="AC29" s="252">
        <v>203.5</v>
      </c>
      <c r="AD29" s="252">
        <v>203.9</v>
      </c>
      <c r="AE29" s="252">
        <v>202.9</v>
      </c>
      <c r="AF29" s="252">
        <v>201.8</v>
      </c>
      <c r="AG29" s="252">
        <v>201.5</v>
      </c>
      <c r="AH29" s="252">
        <v>201.8</v>
      </c>
      <c r="AI29" s="251">
        <f>(SUM(AE30:AH30)+SUM(W29:AD29))/12</f>
        <v>200.291666666667</v>
      </c>
    </row>
    <row r="30" ht="12.75" customHeight="1" spans="1:35" x14ac:dyDescent="0.25">
      <c r="A30" s="234">
        <f>A31+1</f>
        <v>2006</v>
      </c>
      <c r="B30" s="235">
        <f>SUM(AE31, AF31,AG31,AH31,W30,X30,Y30,Z30,AA30,AB30,AC30,AD30)/12</f>
        <v>192.766666666667</v>
      </c>
      <c r="C30" s="236">
        <f>U30</f>
        <v>0.0310675284154222</v>
      </c>
      <c r="D30" s="237">
        <f>C30</f>
        <v>0.0310675284154222</v>
      </c>
      <c r="E30" s="172"/>
      <c r="F30" s="172"/>
      <c r="G30" s="172"/>
      <c r="H30" s="172"/>
      <c r="I30" s="172"/>
      <c r="J30" s="172"/>
      <c r="K30" s="172"/>
      <c r="L30" s="172">
        <f>L31*(1+$D30)</f>
        <v>1.07886759013106</v>
      </c>
      <c r="M30" s="172">
        <f>M31*(1+$D30)</f>
        <v>1.16728061765151</v>
      </c>
      <c r="N30" s="172">
        <f>N31*(1+$D30)</f>
        <v>1.20863158994723</v>
      </c>
      <c r="O30" s="172">
        <f>O31*(1+$D30)</f>
        <v>1.34637099121122</v>
      </c>
      <c r="P30" s="172">
        <f>P31*(1+$D30)</f>
        <v>1.387559234599</v>
      </c>
      <c r="Q30" s="172">
        <f>Q31*(1+$D30)</f>
        <v>1.42984299666213</v>
      </c>
      <c r="R30" s="172">
        <f>R31*(1+$D30)</f>
        <v>1.65299414034586</v>
      </c>
      <c r="S30" s="172">
        <f>S31*(1+$D30)</f>
        <v>1.72138711117726</v>
      </c>
      <c r="T30" s="238">
        <f>T31+1</f>
        <v>2006</v>
      </c>
      <c r="U30" s="249">
        <f>(AI30-AI31)/AI31</f>
        <v>0.0310675284154222</v>
      </c>
      <c r="V30" s="240">
        <f>V31+1</f>
        <v>2005</v>
      </c>
      <c r="W30" s="258">
        <v>190.7</v>
      </c>
      <c r="X30" s="258">
        <v>191.8</v>
      </c>
      <c r="Y30" s="258">
        <v>193.3</v>
      </c>
      <c r="Z30" s="258">
        <v>194.6</v>
      </c>
      <c r="AA30" s="258">
        <v>194.4</v>
      </c>
      <c r="AB30" s="258">
        <v>194.5</v>
      </c>
      <c r="AC30" s="258">
        <v>195.4</v>
      </c>
      <c r="AD30" s="258">
        <v>196.4</v>
      </c>
      <c r="AE30" s="258">
        <v>198.8</v>
      </c>
      <c r="AF30" s="258">
        <v>199.2</v>
      </c>
      <c r="AG30" s="258">
        <v>197.6</v>
      </c>
      <c r="AH30" s="258">
        <v>196.8</v>
      </c>
      <c r="AI30" s="251">
        <f>(SUM(AE31:AH31)+SUM(W30:AD30))/12</f>
        <v>192.766666666667</v>
      </c>
    </row>
    <row r="31" ht="12.75" customHeight="1" spans="1:35" x14ac:dyDescent="0.25">
      <c r="A31" s="234">
        <f>A32+1</f>
        <v>2005</v>
      </c>
      <c r="B31" s="235">
        <f>SUM(AE32, AF32,AG32,AH32,W31,X31,Y31,Z31,AA31,AB31,AC31,AD31)/12</f>
        <v>186.958333333333</v>
      </c>
      <c r="C31" s="236">
        <f>U31</f>
        <v>0.0230278157774738</v>
      </c>
      <c r="D31" s="237">
        <f>C31</f>
        <v>0.0230278157774738</v>
      </c>
      <c r="E31" s="172"/>
      <c r="F31" s="172"/>
      <c r="G31" s="172"/>
      <c r="H31" s="172"/>
      <c r="I31" s="172"/>
      <c r="J31" s="172"/>
      <c r="K31" s="172"/>
      <c r="L31" s="172">
        <f>L32*(1+$D31)</f>
        <v>1.04635977799543</v>
      </c>
      <c r="M31" s="172">
        <f>M32*(1+$D31)</f>
        <v>1.13210879547863</v>
      </c>
      <c r="N31" s="172">
        <f>N32*(1+$D31)</f>
        <v>1.172213804274</v>
      </c>
      <c r="O31" s="172">
        <f>O32*(1+$D31)</f>
        <v>1.30580292183226</v>
      </c>
      <c r="P31" s="172">
        <f>P32*(1+$D31)</f>
        <v>1.34575010497271</v>
      </c>
      <c r="Q31" s="172">
        <f>Q32*(1+$D31)</f>
        <v>1.38675979725553</v>
      </c>
      <c r="R31" s="172">
        <f>R32*(1+$D31)</f>
        <v>1.60318708017722</v>
      </c>
      <c r="S31" s="172">
        <f>S32*(1+$D31)</f>
        <v>1.66951927370144</v>
      </c>
      <c r="T31" s="238">
        <f>T32+1</f>
        <v>2005</v>
      </c>
      <c r="U31" s="249">
        <f>(AI31-AI32)/AI32</f>
        <v>0.0230278157774738</v>
      </c>
      <c r="V31" s="240">
        <f>V32+1</f>
        <v>2004</v>
      </c>
      <c r="W31" s="258">
        <v>185.2</v>
      </c>
      <c r="X31" s="258">
        <v>186.2</v>
      </c>
      <c r="Y31" s="258">
        <v>187.4</v>
      </c>
      <c r="Z31" s="258">
        <v>188</v>
      </c>
      <c r="AA31" s="258">
        <v>189.1</v>
      </c>
      <c r="AB31" s="258">
        <v>189.7</v>
      </c>
      <c r="AC31" s="258">
        <v>189.4</v>
      </c>
      <c r="AD31" s="258">
        <v>189.5</v>
      </c>
      <c r="AE31" s="258">
        <v>189.9</v>
      </c>
      <c r="AF31" s="258">
        <v>190.9</v>
      </c>
      <c r="AG31" s="258">
        <v>191</v>
      </c>
      <c r="AH31" s="258">
        <v>190.3</v>
      </c>
      <c r="AI31" s="251">
        <f>(SUM(AE32:AH32)+SUM(W31:AD31))/12</f>
        <v>186.958333333333</v>
      </c>
    </row>
    <row r="32" ht="12.75" customHeight="1" spans="1:35" x14ac:dyDescent="0.25">
      <c r="A32" s="234">
        <f>A33+1</f>
        <v>2004</v>
      </c>
      <c r="B32" s="235">
        <f>SUM(AE33, AF33,AG33,AH33,W32,X32,Y32,Z32,AA32,AB32,AC32,AD32)/12</f>
        <v>182.75</v>
      </c>
      <c r="C32" s="236">
        <f>U32</f>
        <v>0.0228067720721982</v>
      </c>
      <c r="D32" s="237">
        <f>C32</f>
        <v>0.0228067720721982</v>
      </c>
      <c r="E32" s="172"/>
      <c r="F32" s="172"/>
      <c r="G32" s="172"/>
      <c r="H32" s="172"/>
      <c r="I32" s="172"/>
      <c r="J32" s="172"/>
      <c r="K32" s="172"/>
      <c r="L32" s="172">
        <f>L33*(1+$D32)</f>
        <v>1.0228067720722</v>
      </c>
      <c r="M32" s="172">
        <f>M33*(1+$D32)</f>
        <v>1.10662562446384</v>
      </c>
      <c r="N32" s="172">
        <f>N33*(1+$D32)</f>
        <v>1.14582789069439</v>
      </c>
      <c r="O32" s="172">
        <f>O33*(1+$D32)</f>
        <v>1.2764099877772</v>
      </c>
      <c r="P32" s="172">
        <f>P33*(1+$D32)</f>
        <v>1.31545798092496</v>
      </c>
      <c r="Q32" s="172">
        <f>Q33*(1+$D32)</f>
        <v>1.35554456669551</v>
      </c>
      <c r="R32" s="172">
        <f>R33*(1+$D32)</f>
        <v>1.56710018579391</v>
      </c>
      <c r="S32" s="172">
        <f>S33*(1+$D32)</f>
        <v>1.63193927667808</v>
      </c>
      <c r="T32" s="238">
        <f>T33+1</f>
        <v>2004</v>
      </c>
      <c r="U32" s="249">
        <f>(AI32-AI33)/AI33</f>
        <v>0.0228067720721982</v>
      </c>
      <c r="V32" s="240">
        <f>V33+1</f>
        <v>2003</v>
      </c>
      <c r="W32" s="258">
        <v>181.7</v>
      </c>
      <c r="X32" s="258">
        <v>183.1</v>
      </c>
      <c r="Y32" s="258">
        <v>184.2</v>
      </c>
      <c r="Z32" s="258">
        <v>183.8</v>
      </c>
      <c r="AA32" s="258">
        <v>183.5</v>
      </c>
      <c r="AB32" s="258">
        <v>183.7</v>
      </c>
      <c r="AC32" s="258">
        <v>183.9</v>
      </c>
      <c r="AD32" s="258">
        <v>184.6</v>
      </c>
      <c r="AE32" s="258">
        <v>185.2</v>
      </c>
      <c r="AF32" s="258">
        <v>185</v>
      </c>
      <c r="AG32" s="258">
        <v>184.5</v>
      </c>
      <c r="AH32" s="258">
        <v>184.3</v>
      </c>
      <c r="AI32" s="251">
        <f>(SUM(AE33:AH33)+SUM(W32:AD32))/12</f>
        <v>182.75</v>
      </c>
    </row>
    <row r="33" ht="12.75" customHeight="1" spans="1:35" x14ac:dyDescent="0.25">
      <c r="A33" s="234">
        <f>A34+1</f>
        <v>2003</v>
      </c>
      <c r="B33" s="235">
        <f>SUM(AE34, AF34,AG34,AH34,W33,X33,Y33,Z33,AA33,AB33,AC33,AD33)/12</f>
        <v>178.675</v>
      </c>
      <c r="C33" s="236">
        <f>U33</f>
        <v>0.0159203980099502</v>
      </c>
      <c r="D33" s="237">
        <f>C33</f>
        <v>0.0159203980099502</v>
      </c>
      <c r="E33" s="172"/>
      <c r="F33" s="172"/>
      <c r="G33" s="172"/>
      <c r="H33" s="172"/>
      <c r="I33" s="172"/>
      <c r="J33" s="172"/>
      <c r="K33" s="172"/>
      <c r="L33" s="256">
        <v>1</v>
      </c>
      <c r="M33" s="172">
        <f>M34*(1+$D33)</f>
        <v>1.08194984104557</v>
      </c>
      <c r="N33" s="172">
        <f>N34*(1+$D33)</f>
        <v>1.12027796645593</v>
      </c>
      <c r="O33" s="172">
        <f>O34*(1+$D33)</f>
        <v>1.24794831499913</v>
      </c>
      <c r="P33" s="172">
        <f>P34*(1+$D33)</f>
        <v>1.28612560734209</v>
      </c>
      <c r="Q33" s="172">
        <f>Q34*(1+$D33)</f>
        <v>1.32531833353937</v>
      </c>
      <c r="R33" s="172">
        <f>R34*(1+$D33)</f>
        <v>1.53215663855938</v>
      </c>
      <c r="S33" s="172">
        <f>S34*(1+$D33)</f>
        <v>1.59554993302575</v>
      </c>
      <c r="T33" s="238">
        <f>T34+1</f>
        <v>2003</v>
      </c>
      <c r="U33" s="249">
        <f>(AI33-AI34)/AI34</f>
        <v>0.0159203980099502</v>
      </c>
      <c r="V33" s="240">
        <f>V34+1</f>
        <v>2002</v>
      </c>
      <c r="W33" s="258">
        <v>177.1</v>
      </c>
      <c r="X33" s="258">
        <v>177.8</v>
      </c>
      <c r="Y33" s="258">
        <v>178.8</v>
      </c>
      <c r="Z33" s="258">
        <v>179.8</v>
      </c>
      <c r="AA33" s="258">
        <v>179.8</v>
      </c>
      <c r="AB33" s="258">
        <v>179.9</v>
      </c>
      <c r="AC33" s="258">
        <v>180.1</v>
      </c>
      <c r="AD33" s="258">
        <v>180.7</v>
      </c>
      <c r="AE33" s="258">
        <v>181</v>
      </c>
      <c r="AF33" s="258">
        <v>181.3</v>
      </c>
      <c r="AG33" s="258">
        <v>181.3</v>
      </c>
      <c r="AH33" s="258">
        <v>180.9</v>
      </c>
      <c r="AI33" s="251">
        <f>(SUM(AE34:AH34)+SUM(W33:AD33))/12</f>
        <v>178.675</v>
      </c>
    </row>
    <row r="34" ht="12.75" customHeight="1" spans="1:35" x14ac:dyDescent="0.25">
      <c r="A34" s="234">
        <f>A35+1</f>
        <v>2002</v>
      </c>
      <c r="B34" s="235">
        <f>SUM(AE35, AF35,AG35,AH35,W34,X34,Y34,Z34,AA34,AB34,AC34,AD34)/12</f>
        <v>175.875</v>
      </c>
      <c r="C34" s="236">
        <f>U34</f>
        <v>0.0328879753340185</v>
      </c>
      <c r="D34" s="237">
        <f>C34</f>
        <v>0.0328879753340185</v>
      </c>
      <c r="E34" s="172"/>
      <c r="F34" s="172"/>
      <c r="G34" s="172"/>
      <c r="H34" s="172"/>
      <c r="I34" s="172"/>
      <c r="J34" s="172"/>
      <c r="K34" s="172"/>
      <c r="L34" s="172"/>
      <c r="M34" s="172">
        <f>M35*(1+$D34)</f>
        <v>1.0649947015189</v>
      </c>
      <c r="N34" s="172">
        <f>N35*(1+$D34)</f>
        <v>1.10272219029207</v>
      </c>
      <c r="O34" s="172">
        <f>O35*(1+$D34)</f>
        <v>1.22839182818229</v>
      </c>
      <c r="P34" s="172">
        <f>P35*(1+$D34)</f>
        <v>1.26597084757963</v>
      </c>
      <c r="Q34" s="172">
        <f>Q35*(1+$D34)</f>
        <v>1.30454938805786</v>
      </c>
      <c r="R34" s="172">
        <f>R35*(1+$D34)</f>
        <v>1.50814634843504</v>
      </c>
      <c r="S34" s="172">
        <f>S35*(1+$D34)</f>
        <v>1.57054621223396</v>
      </c>
      <c r="T34" s="238">
        <f>T35+1</f>
        <v>2002</v>
      </c>
      <c r="U34" s="249">
        <f>(AI34-AI35)/AI35</f>
        <v>0.0328879753340185</v>
      </c>
      <c r="V34" s="240">
        <f>V35+1</f>
        <v>2001</v>
      </c>
      <c r="W34" s="258">
        <v>175.1</v>
      </c>
      <c r="X34" s="258">
        <v>175.8</v>
      </c>
      <c r="Y34" s="258">
        <v>176.2</v>
      </c>
      <c r="Z34" s="258">
        <v>176.9</v>
      </c>
      <c r="AA34" s="258">
        <v>177.7</v>
      </c>
      <c r="AB34" s="258">
        <v>178</v>
      </c>
      <c r="AC34" s="258">
        <v>177.5</v>
      </c>
      <c r="AD34" s="258">
        <v>177.5</v>
      </c>
      <c r="AE34" s="258">
        <v>178.3</v>
      </c>
      <c r="AF34" s="258">
        <v>177.7</v>
      </c>
      <c r="AG34" s="258">
        <v>177.4</v>
      </c>
      <c r="AH34" s="258">
        <v>176.7</v>
      </c>
      <c r="AI34" s="251">
        <f>(SUM(AE35:AH35)+SUM(W34:AD34))/12</f>
        <v>175.875</v>
      </c>
    </row>
    <row r="35" ht="12.75" customHeight="1" spans="1:35" x14ac:dyDescent="0.25">
      <c r="A35" s="234">
        <f>A36+1</f>
        <v>2001</v>
      </c>
      <c r="B35" s="235">
        <f>SUM(AE36, AF36,AG36,AH36,W35,X35,Y35,Z35,AA35,AB35,AC35,AD35)/12</f>
        <v>170.275</v>
      </c>
      <c r="C35" s="236">
        <f>U35</f>
        <v>0.0310844224655598</v>
      </c>
      <c r="D35" s="237">
        <f>C35</f>
        <v>0.0310844224655598</v>
      </c>
      <c r="E35" s="172"/>
      <c r="F35" s="172"/>
      <c r="G35" s="172"/>
      <c r="H35" s="172"/>
      <c r="I35" s="172"/>
      <c r="J35" s="172"/>
      <c r="K35" s="172"/>
      <c r="L35" s="172"/>
      <c r="M35" s="172">
        <f>M36*(1+$D35)</f>
        <v>1.03108442246556</v>
      </c>
      <c r="N35" s="172">
        <f>N36*(1+$D35)</f>
        <v>1.06761063796437</v>
      </c>
      <c r="O35" s="172">
        <f>O36*(1+$D35)</f>
        <v>1.18927885454863</v>
      </c>
      <c r="P35" s="172">
        <f>P36*(1+$D35)</f>
        <v>1.22566132805471</v>
      </c>
      <c r="Q35" s="172">
        <f>Q36*(1+$D35)</f>
        <v>1.26301149709482</v>
      </c>
      <c r="R35" s="172">
        <f>R36*(1+$D35)</f>
        <v>1.46012576818637</v>
      </c>
      <c r="S35" s="172">
        <f>S36*(1+$D35)</f>
        <v>1.52053877065039</v>
      </c>
      <c r="T35" s="238">
        <f>T36+1</f>
        <v>2001</v>
      </c>
      <c r="U35" s="249">
        <f>(AI35-AI36)/AI36</f>
        <v>0.0310844224655598</v>
      </c>
      <c r="V35" s="240">
        <f>V36+1</f>
        <v>2000</v>
      </c>
      <c r="W35" s="258">
        <v>168.8</v>
      </c>
      <c r="X35" s="258">
        <v>169.8</v>
      </c>
      <c r="Y35" s="258">
        <v>171.2</v>
      </c>
      <c r="Z35" s="258">
        <v>171.3</v>
      </c>
      <c r="AA35" s="258">
        <v>171.5</v>
      </c>
      <c r="AB35" s="258">
        <v>172.4</v>
      </c>
      <c r="AC35" s="258">
        <v>172.8</v>
      </c>
      <c r="AD35" s="258">
        <v>172.8</v>
      </c>
      <c r="AE35" s="258">
        <v>173.7</v>
      </c>
      <c r="AF35" s="258">
        <v>174</v>
      </c>
      <c r="AG35" s="258">
        <v>174.1</v>
      </c>
      <c r="AH35" s="258">
        <v>174</v>
      </c>
      <c r="AI35" s="251">
        <f>(SUM(AE36:AH36)+SUM(W35:AD35))/12</f>
        <v>170.275</v>
      </c>
    </row>
    <row r="36" ht="12.75" customHeight="1" spans="1:35" x14ac:dyDescent="0.25">
      <c r="A36" s="234">
        <f>A37+1</f>
        <v>2000</v>
      </c>
      <c r="B36" s="235">
        <f>SUM(AE37, AF37,AG37,AH37,W36,X36,Y36,Z36,AA36,AB36,AC36,AD36)/12</f>
        <v>165.141666666667</v>
      </c>
      <c r="C36" s="236">
        <f>U36</f>
        <v>0.0182406741342105</v>
      </c>
      <c r="D36" s="237">
        <f>C36</f>
        <v>0.0182406741342105</v>
      </c>
      <c r="E36" s="172"/>
      <c r="F36" s="172"/>
      <c r="G36" s="172"/>
      <c r="H36" s="172"/>
      <c r="I36" s="172"/>
      <c r="J36" s="172"/>
      <c r="K36" s="172"/>
      <c r="L36" s="172"/>
      <c r="M36" s="256">
        <v>1</v>
      </c>
      <c r="N36" s="172">
        <f>N37*(1+$D36)</f>
        <v>1.03542504833063</v>
      </c>
      <c r="O36" s="172">
        <f>O37*(1+$D36)</f>
        <v>1.15342529538444</v>
      </c>
      <c r="P36" s="172">
        <f>P37*(1+$D36)</f>
        <v>1.18871093515686</v>
      </c>
      <c r="Q36" s="172">
        <f>Q37*(1+$D36)</f>
        <v>1.22493509704537</v>
      </c>
      <c r="R36" s="172">
        <f>R37*(1+$D36)</f>
        <v>1.41610690295841</v>
      </c>
      <c r="S36" s="172">
        <f>S37*(1+$D36)</f>
        <v>1.47469861586546</v>
      </c>
      <c r="T36" s="238">
        <f>T37+1</f>
        <v>2000</v>
      </c>
      <c r="U36" s="249">
        <f>(AI36-AI37)/AI37</f>
        <v>0.0182406741342105</v>
      </c>
      <c r="V36" s="240">
        <f>V37+1</f>
        <v>1999</v>
      </c>
      <c r="W36" s="258">
        <v>164.3</v>
      </c>
      <c r="X36" s="258">
        <v>164.5</v>
      </c>
      <c r="Y36" s="258">
        <v>165</v>
      </c>
      <c r="Z36" s="258">
        <v>166.2</v>
      </c>
      <c r="AA36" s="258">
        <v>166.2</v>
      </c>
      <c r="AB36" s="258">
        <v>166.2</v>
      </c>
      <c r="AC36" s="258">
        <v>166.7</v>
      </c>
      <c r="AD36" s="258">
        <v>167.1</v>
      </c>
      <c r="AE36" s="258">
        <v>167.9</v>
      </c>
      <c r="AF36" s="258">
        <v>168.2</v>
      </c>
      <c r="AG36" s="258">
        <v>168.3</v>
      </c>
      <c r="AH36" s="258">
        <v>168.3</v>
      </c>
      <c r="AI36" s="251">
        <f>(SUM(AE37:AH37)+SUM(W36:AD36))/12</f>
        <v>165.141666666667</v>
      </c>
    </row>
    <row r="37" ht="12.75" customHeight="1" spans="1:35" x14ac:dyDescent="0.25">
      <c r="A37" s="234">
        <f>A38+1</f>
        <v>1999</v>
      </c>
      <c r="B37" s="235">
        <f>SUM(AE38, AF38,AG38,AH38,W37,X37,Y37,Z37,AA37,AB37,AC37,AD37)/12</f>
        <v>162.183333333333</v>
      </c>
      <c r="C37" s="236">
        <f>U37</f>
        <v>0.016876534824181</v>
      </c>
      <c r="D37" s="237">
        <f>C37</f>
        <v>0.016876534824181</v>
      </c>
      <c r="E37" s="172"/>
      <c r="F37" s="172"/>
      <c r="G37" s="172"/>
      <c r="H37" s="172"/>
      <c r="I37" s="172"/>
      <c r="J37" s="172"/>
      <c r="K37" s="172"/>
      <c r="L37" s="172"/>
      <c r="M37" s="256"/>
      <c r="N37" s="172">
        <f>N38*(1+$D37)</f>
        <v>1.01687653482418</v>
      </c>
      <c r="O37" s="172">
        <f>O38*(1+$D37)</f>
        <v>1.13276293580118</v>
      </c>
      <c r="P37" s="172">
        <f>P38*(1+$D37)</f>
        <v>1.16741647171735</v>
      </c>
      <c r="Q37" s="172">
        <f>Q38*(1+$D37)</f>
        <v>1.20299171714674</v>
      </c>
      <c r="R37" s="172">
        <f>R38*(1+$D37)</f>
        <v>1.3907388880949</v>
      </c>
      <c r="S37" s="172">
        <f>S38*(1+$D37)</f>
        <v>1.44828099419556</v>
      </c>
      <c r="T37" s="238">
        <f>T38+1</f>
        <v>1999</v>
      </c>
      <c r="U37" s="249">
        <f>(AI37-AI38)/AI38</f>
        <v>0.016876534824181</v>
      </c>
      <c r="V37" s="240">
        <f>V38+1</f>
        <v>1998</v>
      </c>
      <c r="W37" s="258">
        <v>161.6</v>
      </c>
      <c r="X37" s="258">
        <v>161.9</v>
      </c>
      <c r="Y37" s="258">
        <v>162.2</v>
      </c>
      <c r="Z37" s="258">
        <v>162.5</v>
      </c>
      <c r="AA37" s="258">
        <v>162.8</v>
      </c>
      <c r="AB37" s="258">
        <v>163</v>
      </c>
      <c r="AC37" s="258">
        <v>163.2</v>
      </c>
      <c r="AD37" s="258">
        <v>163.4</v>
      </c>
      <c r="AE37" s="258">
        <v>163.6</v>
      </c>
      <c r="AF37" s="258">
        <v>164</v>
      </c>
      <c r="AG37" s="258">
        <v>164</v>
      </c>
      <c r="AH37" s="258">
        <v>163.9</v>
      </c>
      <c r="AI37" s="251">
        <f>(SUM(AE38:AH38)+SUM(W37:AD37))/12</f>
        <v>162.183333333333</v>
      </c>
    </row>
    <row r="38" ht="12.75" customHeight="1" spans="1:35" x14ac:dyDescent="0.25">
      <c r="A38" s="234">
        <f>A39+1</f>
        <v>1998</v>
      </c>
      <c r="B38" s="235">
        <f>SUM(AE39, AF39,AG39,AH39,W38,X38,Y38,Z38,AA38,AB38,AC38,AD38)/12</f>
        <v>159.491666666667</v>
      </c>
      <c r="C38" s="236">
        <f>U38</f>
        <v>0.0273766707821137</v>
      </c>
      <c r="D38" s="237">
        <f>C38</f>
        <v>0.0273766707821137</v>
      </c>
      <c r="E38" s="172"/>
      <c r="F38" s="172"/>
      <c r="G38" s="172"/>
      <c r="H38" s="172"/>
      <c r="I38" s="172"/>
      <c r="J38" s="172"/>
      <c r="K38" s="172"/>
      <c r="L38" s="172"/>
      <c r="M38" s="256"/>
      <c r="N38" s="256">
        <v>1</v>
      </c>
      <c r="O38" s="172">
        <f>O39*(1+$D38)</f>
        <v>1.1139630987719</v>
      </c>
      <c r="P38" s="172">
        <f>P39*(1+$D38)</f>
        <v>1.14804150920761</v>
      </c>
      <c r="Q38" s="172">
        <f>Q39*(1+$D38)</f>
        <v>1.18302633205588</v>
      </c>
      <c r="R38" s="172">
        <f>R39*(1+$D38)</f>
        <v>1.36765756752894</v>
      </c>
      <c r="S38" s="172">
        <f>S39*(1+$D38)</f>
        <v>1.42424467926775</v>
      </c>
      <c r="T38" s="238">
        <f>T39+1</f>
        <v>1998</v>
      </c>
      <c r="U38" s="249">
        <f>(AI38-AI39)/AI39</f>
        <v>0.0273766707821137</v>
      </c>
      <c r="V38" s="240">
        <f>V39+1</f>
        <v>1997</v>
      </c>
      <c r="W38" s="258">
        <v>159.1</v>
      </c>
      <c r="X38" s="258">
        <v>159.6</v>
      </c>
      <c r="Y38" s="258">
        <v>160</v>
      </c>
      <c r="Z38" s="258">
        <v>160.2</v>
      </c>
      <c r="AA38" s="258">
        <v>160.1</v>
      </c>
      <c r="AB38" s="258">
        <v>160.3</v>
      </c>
      <c r="AC38" s="258">
        <v>160.5</v>
      </c>
      <c r="AD38" s="258">
        <v>160.8</v>
      </c>
      <c r="AE38" s="258">
        <v>161.2</v>
      </c>
      <c r="AF38" s="258">
        <v>161.6</v>
      </c>
      <c r="AG38" s="258">
        <v>161.5</v>
      </c>
      <c r="AH38" s="258">
        <v>161.3</v>
      </c>
      <c r="AI38" s="251">
        <f>(SUM(AE39:AH39)+SUM(W38:AD38))/12</f>
        <v>159.491666666667</v>
      </c>
    </row>
    <row r="39" ht="12.75" customHeight="1" spans="1:35" x14ac:dyDescent="0.25">
      <c r="A39" s="234">
        <f>A40+1</f>
        <v>1997</v>
      </c>
      <c r="B39" s="235">
        <f>SUM(AE40, AF40,AG40,AH40,W39,X39,Y39,Z39,AA39,AB39,AC39,AD39)/12</f>
        <v>155.241666666667</v>
      </c>
      <c r="C39" s="236">
        <f>U39</f>
        <v>0.0275801202493244</v>
      </c>
      <c r="D39" s="237">
        <f>C39</f>
        <v>0.0275801202493244</v>
      </c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>
        <f>O40*(1+$D39)</f>
        <v>1.08427914556778</v>
      </c>
      <c r="P39" s="172">
        <f>P40*(1+$D39)</f>
        <v>1.11744946313958</v>
      </c>
      <c r="Q39" s="172">
        <f>Q40*(1+$D39)</f>
        <v>1.15150203980715</v>
      </c>
      <c r="R39" s="172">
        <f>R40*(1+$D39)</f>
        <v>1.33121337716164</v>
      </c>
      <c r="S39" s="172">
        <f>S40*(1+$D39)</f>
        <v>1.38629260306593</v>
      </c>
      <c r="T39" s="238">
        <f>T40+1</f>
        <v>1997</v>
      </c>
      <c r="U39" s="249">
        <f>(AI39-AI40)/AI40</f>
        <v>0.0275801202493244</v>
      </c>
      <c r="V39" s="240">
        <f>V40+1</f>
        <v>1996</v>
      </c>
      <c r="W39" s="258">
        <v>154.4</v>
      </c>
      <c r="X39" s="258">
        <v>154.9</v>
      </c>
      <c r="Y39" s="258">
        <v>155.7</v>
      </c>
      <c r="Z39" s="258">
        <v>156.3</v>
      </c>
      <c r="AA39" s="258">
        <v>156.6</v>
      </c>
      <c r="AB39" s="258">
        <v>156.7</v>
      </c>
      <c r="AC39" s="258">
        <v>157</v>
      </c>
      <c r="AD39" s="258">
        <v>157.3</v>
      </c>
      <c r="AE39" s="258">
        <v>157.8</v>
      </c>
      <c r="AF39" s="258">
        <v>158.3</v>
      </c>
      <c r="AG39" s="258">
        <v>158.6</v>
      </c>
      <c r="AH39" s="258">
        <v>158.6</v>
      </c>
      <c r="AI39" s="251">
        <f>(SUM(AE40:AH40)+SUM(W39:AD39))/12</f>
        <v>155.241666666667</v>
      </c>
    </row>
    <row r="40" ht="12.75" customHeight="1" spans="1:35" x14ac:dyDescent="0.25">
      <c r="A40" s="234">
        <f>A41+1</f>
        <v>1996</v>
      </c>
      <c r="B40" s="235">
        <f>SUM(AE41, AF41,AG41,AH41,W40,X40,Y40,Z40,AA40,AB40,AC40,AD40)/12</f>
        <v>151.075</v>
      </c>
      <c r="C40" s="236">
        <f>U40</f>
        <v>0.0284206943498978</v>
      </c>
      <c r="D40" s="237">
        <f>C40</f>
        <v>0.0284206943498978</v>
      </c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>
        <f>O41*(1+$D40)</f>
        <v>1.05517723066178</v>
      </c>
      <c r="P40" s="172">
        <f>P41*(1+$D40)</f>
        <v>1.08745726111211</v>
      </c>
      <c r="Q40" s="172">
        <f>Q41*(1+$D40)</f>
        <v>1.12059587093584</v>
      </c>
      <c r="R40" s="172">
        <f>R41*(1+$D40)</f>
        <v>1.29548377876233</v>
      </c>
      <c r="S40" s="172">
        <f>S41*(1+$D40)</f>
        <v>1.34908468522102</v>
      </c>
      <c r="T40" s="238">
        <f>T41+1</f>
        <v>1996</v>
      </c>
      <c r="U40" s="249">
        <f>(AI40-AI41)/AI41</f>
        <v>0.0284206943498978</v>
      </c>
      <c r="V40" s="240">
        <f>V41+1</f>
        <v>1995</v>
      </c>
      <c r="W40" s="258">
        <v>150.3</v>
      </c>
      <c r="X40" s="258">
        <v>150.9</v>
      </c>
      <c r="Y40" s="258">
        <v>151.4</v>
      </c>
      <c r="Z40" s="258">
        <v>151.9</v>
      </c>
      <c r="AA40" s="258">
        <v>152.2</v>
      </c>
      <c r="AB40" s="258">
        <v>152.5</v>
      </c>
      <c r="AC40" s="258">
        <v>152.5</v>
      </c>
      <c r="AD40" s="258">
        <v>152.9</v>
      </c>
      <c r="AE40" s="258">
        <v>153.2</v>
      </c>
      <c r="AF40" s="258">
        <v>153.7</v>
      </c>
      <c r="AG40" s="258">
        <v>153.6</v>
      </c>
      <c r="AH40" s="258">
        <v>153.5</v>
      </c>
      <c r="AI40" s="251">
        <f>(SUM(AE41:AH41)+SUM(W40:AD40))/12</f>
        <v>151.075</v>
      </c>
    </row>
    <row r="41" ht="12.75" customHeight="1" spans="1:35" x14ac:dyDescent="0.25">
      <c r="A41" s="234">
        <f>A42+1</f>
        <v>1995</v>
      </c>
      <c r="B41" s="235">
        <f>SUM(AE42, AF42,AG42,AH42,W41,X41,Y41,Z41,AA41,AB41,AC41,AD41)/12</f>
        <v>146.9</v>
      </c>
      <c r="C41" s="236">
        <f>U41</f>
        <v>0.0260171119259649</v>
      </c>
      <c r="D41" s="237">
        <f>C41</f>
        <v>0.0260171119259649</v>
      </c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>
        <f>O42*(1+$D41)</f>
        <v>1.02601711192597</v>
      </c>
      <c r="P41" s="172">
        <f>P42*(1+$D41)</f>
        <v>1.05740507468058</v>
      </c>
      <c r="Q41" s="172">
        <f>Q42*(1+$D41)</f>
        <v>1.08962788972679</v>
      </c>
      <c r="R41" s="172">
        <f>R42*(1+$D41)</f>
        <v>1.25968272116621</v>
      </c>
      <c r="S41" s="172">
        <f>S42*(1+$D41)</f>
        <v>1.31180235154041</v>
      </c>
      <c r="T41" s="238">
        <f>T42+1</f>
        <v>1995</v>
      </c>
      <c r="U41" s="249">
        <f>(AI41-AI42)/AI42</f>
        <v>0.0260171119259649</v>
      </c>
      <c r="V41" s="240">
        <f>V42+1</f>
        <v>1994</v>
      </c>
      <c r="W41" s="259">
        <v>146.2</v>
      </c>
      <c r="X41" s="259">
        <v>146.7</v>
      </c>
      <c r="Y41" s="259">
        <v>147.2</v>
      </c>
      <c r="Z41" s="259">
        <v>147.4</v>
      </c>
      <c r="AA41" s="259">
        <v>147.5</v>
      </c>
      <c r="AB41" s="259">
        <v>148</v>
      </c>
      <c r="AC41" s="259">
        <v>148.4</v>
      </c>
      <c r="AD41" s="259">
        <v>149</v>
      </c>
      <c r="AE41" s="259">
        <v>149.4</v>
      </c>
      <c r="AF41" s="259">
        <v>149.5</v>
      </c>
      <c r="AG41" s="259">
        <v>149.7</v>
      </c>
      <c r="AH41" s="259">
        <v>149.7</v>
      </c>
      <c r="AI41" s="251">
        <f>(SUM(AE42:AH42)+SUM(W41:AD41))/12</f>
        <v>146.9</v>
      </c>
    </row>
    <row r="42" ht="12.75" customHeight="1" spans="1:35" x14ac:dyDescent="0.25">
      <c r="A42" s="234">
        <f>A43+1</f>
        <v>1994</v>
      </c>
      <c r="B42" s="235">
        <f>SUM(AE43, AF43,AG43,AH43,W42,X42,Y42,Z42,AA42,AB42,AC42,AD42)/12</f>
        <v>143.175</v>
      </c>
      <c r="C42" s="236">
        <f>U42</f>
        <v>0.0305920460680223</v>
      </c>
      <c r="D42" s="237">
        <f>C42</f>
        <v>0.0305920460680223</v>
      </c>
      <c r="E42" s="172"/>
      <c r="F42" s="172"/>
      <c r="G42" s="172"/>
      <c r="H42" s="172"/>
      <c r="I42" s="172"/>
      <c r="J42" s="172"/>
      <c r="K42" s="172"/>
      <c r="L42" s="172"/>
      <c r="M42" s="172"/>
      <c r="N42" s="257"/>
      <c r="O42" s="256">
        <v>1</v>
      </c>
      <c r="P42" s="172">
        <f>P43*(1+$D42)</f>
        <v>1.03059204606802</v>
      </c>
      <c r="Q42" s="172">
        <f>Q43*(1+$D42)</f>
        <v>1.06199777475584</v>
      </c>
      <c r="R42" s="172">
        <f>R43*(1+$D42)</f>
        <v>1.22774046019723</v>
      </c>
      <c r="S42" s="172">
        <f>S43*(1+$D42)</f>
        <v>1.27853847298705</v>
      </c>
      <c r="T42" s="238">
        <f>T43+1</f>
        <v>1994</v>
      </c>
      <c r="U42" s="249">
        <f>(AI42-AI43)/AI43</f>
        <v>0.0305920460680223</v>
      </c>
      <c r="V42" s="240">
        <f>V43+1</f>
        <v>1993</v>
      </c>
      <c r="W42" s="259">
        <v>142.6</v>
      </c>
      <c r="X42" s="259">
        <v>143.1</v>
      </c>
      <c r="Y42" s="259">
        <v>143.6</v>
      </c>
      <c r="Z42" s="259">
        <v>144</v>
      </c>
      <c r="AA42" s="259">
        <v>144.2</v>
      </c>
      <c r="AB42" s="259">
        <v>144.4</v>
      </c>
      <c r="AC42" s="259">
        <v>144.4</v>
      </c>
      <c r="AD42" s="259">
        <v>144.8</v>
      </c>
      <c r="AE42" s="259">
        <v>145.1</v>
      </c>
      <c r="AF42" s="259">
        <v>145.7</v>
      </c>
      <c r="AG42" s="259">
        <v>145.8</v>
      </c>
      <c r="AH42" s="259">
        <v>145.8</v>
      </c>
      <c r="AI42" s="251">
        <f>(SUM(AE43:AH43)+SUM(W42:AD42))/12</f>
        <v>143.175</v>
      </c>
    </row>
    <row r="43" ht="12.75" customHeight="1" spans="1:35" x14ac:dyDescent="0.25">
      <c r="A43" s="234">
        <f>A44+1</f>
        <v>1993</v>
      </c>
      <c r="B43" s="235">
        <f>SUM(AE44, AF44,AG44,AH44,W43,X43,Y43,Z43,AA43,AB43,AC43,AD43)/12</f>
        <v>138.925</v>
      </c>
      <c r="C43" s="236">
        <f>U43</f>
        <v>0.0304734825071083</v>
      </c>
      <c r="D43" s="237">
        <f>C43</f>
        <v>0.0304734825071083</v>
      </c>
      <c r="E43" s="172"/>
      <c r="F43" s="172"/>
      <c r="G43" s="172"/>
      <c r="H43" s="172"/>
      <c r="I43" s="172"/>
      <c r="J43" s="172"/>
      <c r="K43" s="172"/>
      <c r="L43" s="172"/>
      <c r="M43" s="172"/>
      <c r="N43" s="260"/>
      <c r="O43" s="260"/>
      <c r="P43" s="256">
        <v>1</v>
      </c>
      <c r="Q43" s="172">
        <f>Q44*(1+$D43)</f>
        <v>1.03047348250711</v>
      </c>
      <c r="R43" s="172">
        <f>R44*(1+$D43)</f>
        <v>1.19129626982993</v>
      </c>
      <c r="S43" s="172">
        <f>S44*(1+$D43)</f>
        <v>1.24058639678524</v>
      </c>
      <c r="T43" s="238">
        <f>T44+1</f>
        <v>1993</v>
      </c>
      <c r="U43" s="249">
        <f>(AI43-AI44)/AI44</f>
        <v>0.0304734825071083</v>
      </c>
      <c r="V43" s="240">
        <f>V44+1</f>
        <v>1992</v>
      </c>
      <c r="W43" s="259">
        <v>138.1</v>
      </c>
      <c r="X43" s="259">
        <v>138.6</v>
      </c>
      <c r="Y43" s="259">
        <v>139.3</v>
      </c>
      <c r="Z43" s="259">
        <v>139.5</v>
      </c>
      <c r="AA43" s="259">
        <v>139.7</v>
      </c>
      <c r="AB43" s="259">
        <v>140.2</v>
      </c>
      <c r="AC43" s="259">
        <v>140.5</v>
      </c>
      <c r="AD43" s="259">
        <v>140.9</v>
      </c>
      <c r="AE43" s="259">
        <v>141.3</v>
      </c>
      <c r="AF43" s="259">
        <v>141.8</v>
      </c>
      <c r="AG43" s="259">
        <v>142</v>
      </c>
      <c r="AH43" s="259">
        <v>141.9</v>
      </c>
      <c r="AI43" s="251">
        <f>(SUM(AE44:AH44)+SUM(W43:AD43))/12</f>
        <v>138.925</v>
      </c>
    </row>
    <row r="44" ht="12.75" customHeight="1" spans="1:35" x14ac:dyDescent="0.25">
      <c r="A44" s="234">
        <f>A45+1</f>
        <v>1992</v>
      </c>
      <c r="B44" s="235">
        <f>SUM(AE45, AF45,AG45,AH45,W44,X44,Y44,Z44,AA44,AB44,AC44,AD44)/12</f>
        <v>134.816666666667</v>
      </c>
      <c r="C44" s="236">
        <f>U44</f>
        <v>0.0527754278649055</v>
      </c>
      <c r="D44" s="237">
        <f>C44</f>
        <v>0.0527754278649055</v>
      </c>
      <c r="E44" s="172"/>
      <c r="F44" s="172"/>
      <c r="G44" s="172"/>
      <c r="H44" s="172"/>
      <c r="I44" s="172"/>
      <c r="J44" s="172"/>
      <c r="K44" s="172"/>
      <c r="L44" s="172"/>
      <c r="M44" s="172"/>
      <c r="N44" s="260"/>
      <c r="O44" s="260"/>
      <c r="P44" s="260"/>
      <c r="Q44" s="256">
        <v>1</v>
      </c>
      <c r="R44" s="172">
        <f>R45*(1+$D44)</f>
        <v>1.1560668858082</v>
      </c>
      <c r="S44" s="172">
        <f>S45*(1+$D44)</f>
        <v>1.20389938979015</v>
      </c>
      <c r="T44" s="238">
        <f>T45+1</f>
        <v>1992</v>
      </c>
      <c r="U44" s="249">
        <f>(AI44-AI45)/AI45</f>
        <v>0.0527754278649055</v>
      </c>
      <c r="V44" s="240">
        <f>V45+1</f>
        <v>1991</v>
      </c>
      <c r="W44" s="259">
        <v>134.6</v>
      </c>
      <c r="X44" s="259">
        <v>134.8</v>
      </c>
      <c r="Y44" s="259">
        <v>135</v>
      </c>
      <c r="Z44" s="259">
        <v>135.2</v>
      </c>
      <c r="AA44" s="259">
        <v>135.6</v>
      </c>
      <c r="AB44" s="259">
        <v>136</v>
      </c>
      <c r="AC44" s="259">
        <v>136.2</v>
      </c>
      <c r="AD44" s="259">
        <v>136.6</v>
      </c>
      <c r="AE44" s="259">
        <v>137.2</v>
      </c>
      <c r="AF44" s="259">
        <v>137.4</v>
      </c>
      <c r="AG44" s="259">
        <v>137.8</v>
      </c>
      <c r="AH44" s="259">
        <v>137.9</v>
      </c>
      <c r="AI44" s="251">
        <f>(SUM(AE45:AH45)+SUM(W44:AD44))/12</f>
        <v>134.816666666667</v>
      </c>
    </row>
    <row r="45" ht="12.75" customHeight="1" spans="1:35" x14ac:dyDescent="0.25">
      <c r="A45" s="234">
        <f>A46+1</f>
        <v>1991</v>
      </c>
      <c r="B45" s="235">
        <f>SUM(AE46, AF46,AG46,AH46,W45,X45,Y45,Z45,AA45,AB45,AC45,AD45)/12</f>
        <v>128.058333333333</v>
      </c>
      <c r="C45" s="236">
        <f>U45</f>
        <v>0.0483694910629007</v>
      </c>
      <c r="D45" s="237">
        <f>C45</f>
        <v>0.0483694910629007</v>
      </c>
      <c r="E45" s="172"/>
      <c r="F45" s="172"/>
      <c r="G45" s="172"/>
      <c r="H45" s="172"/>
      <c r="I45" s="172"/>
      <c r="J45" s="172"/>
      <c r="K45" s="172"/>
      <c r="L45" s="172"/>
      <c r="M45" s="172"/>
      <c r="N45" s="260"/>
      <c r="O45" s="260"/>
      <c r="P45" s="260"/>
      <c r="Q45" s="261"/>
      <c r="R45" s="172">
        <f>R46*(1+$D45)</f>
        <v>1.09811347720452</v>
      </c>
      <c r="S45" s="172">
        <f>S46*(1+$D45)</f>
        <v>1.14354814704569</v>
      </c>
      <c r="T45" s="238">
        <f>T46+1</f>
        <v>1991</v>
      </c>
      <c r="U45" s="249">
        <f>(AI45-AI46)/AI46</f>
        <v>0.0483694910629007</v>
      </c>
      <c r="V45" s="240">
        <f>V46+1</f>
        <v>1990</v>
      </c>
      <c r="W45" s="259">
        <v>127.4</v>
      </c>
      <c r="X45" s="259">
        <v>128</v>
      </c>
      <c r="Y45" s="259">
        <v>128.7</v>
      </c>
      <c r="Z45" s="259">
        <v>128.9</v>
      </c>
      <c r="AA45" s="259">
        <v>129.2</v>
      </c>
      <c r="AB45" s="259">
        <v>129.9</v>
      </c>
      <c r="AC45" s="259">
        <v>130.4</v>
      </c>
      <c r="AD45" s="259">
        <v>131.6</v>
      </c>
      <c r="AE45" s="259">
        <v>132.7</v>
      </c>
      <c r="AF45" s="259">
        <v>133.5</v>
      </c>
      <c r="AG45" s="259">
        <v>133.8</v>
      </c>
      <c r="AH45" s="259">
        <v>133.8</v>
      </c>
      <c r="AI45" s="251">
        <f>(SUM(AE46:AH46)+SUM(W45:AD45))/12</f>
        <v>128.058333333333</v>
      </c>
    </row>
    <row r="46" ht="12.75" customHeight="1" spans="1:35" x14ac:dyDescent="0.25">
      <c r="A46" s="234">
        <f>A47+1</f>
        <v>1990</v>
      </c>
      <c r="B46" s="235">
        <f>SUM(AE47, AF47,AG47,AH47,W46,X46,Y46,Z46,AA46,AB46,AC46,AD46)/12</f>
        <v>122.15</v>
      </c>
      <c r="C46" s="236">
        <f>U46</f>
        <v>0.0474489066742888</v>
      </c>
      <c r="D46" s="237">
        <f>C46</f>
        <v>0.0474489066742888</v>
      </c>
      <c r="E46" s="172"/>
      <c r="F46" s="172"/>
      <c r="G46" s="172"/>
      <c r="H46" s="172"/>
      <c r="I46" s="172"/>
      <c r="J46" s="172"/>
      <c r="K46" s="172" t="s">
        <v>209</v>
      </c>
      <c r="L46" s="172"/>
      <c r="M46" s="172"/>
      <c r="N46" s="260"/>
      <c r="O46" s="260"/>
      <c r="P46" s="260"/>
      <c r="R46" s="172">
        <f>R47*(1+$D46)</f>
        <v>1.04744890667429</v>
      </c>
      <c r="S46" s="172">
        <f>S47*(1+$D46)</f>
        <v>1.0907873195416</v>
      </c>
      <c r="T46" s="238">
        <f>T47+1</f>
        <v>1990</v>
      </c>
      <c r="U46" s="249">
        <f>(AI46-AI47)/AI47</f>
        <v>0.0474489066742888</v>
      </c>
      <c r="V46" s="240">
        <f>V47+1</f>
        <v>1989</v>
      </c>
      <c r="W46" s="259">
        <v>121.1</v>
      </c>
      <c r="X46" s="259">
        <v>121.6</v>
      </c>
      <c r="Y46" s="259">
        <v>122.3</v>
      </c>
      <c r="Z46" s="259">
        <v>123.1</v>
      </c>
      <c r="AA46" s="259">
        <v>123.8</v>
      </c>
      <c r="AB46" s="259">
        <v>124.1</v>
      </c>
      <c r="AC46" s="259">
        <v>124.4</v>
      </c>
      <c r="AD46" s="259">
        <v>124.6</v>
      </c>
      <c r="AE46" s="259">
        <v>125</v>
      </c>
      <c r="AF46" s="259">
        <v>125.6</v>
      </c>
      <c r="AG46" s="259">
        <v>125.9</v>
      </c>
      <c r="AH46" s="259">
        <v>126.1</v>
      </c>
      <c r="AI46" s="251">
        <f>(SUM(AE47:AH47)+SUM(W46:AD46))/12</f>
        <v>122.15</v>
      </c>
    </row>
    <row r="47" ht="12.75" customHeight="1" spans="1:35" x14ac:dyDescent="0.25">
      <c r="A47" s="234">
        <f>A48+1</f>
        <v>1989</v>
      </c>
      <c r="B47" s="235">
        <f>SUM(AE48, AF48,AG48,AH48,W47,X47,Y47,Z47,AA47,AB47,AC47,AD47)/12</f>
        <v>116.616666666667</v>
      </c>
      <c r="C47" s="236">
        <f>U47</f>
        <v>0.0413752046435482</v>
      </c>
      <c r="D47" s="237">
        <f>C47</f>
        <v>0.0413752046435482</v>
      </c>
      <c r="E47" s="172"/>
      <c r="F47" s="172"/>
      <c r="G47" s="172"/>
      <c r="H47" s="172"/>
      <c r="I47" s="172"/>
      <c r="J47" s="172"/>
      <c r="K47" s="172"/>
      <c r="L47" s="172"/>
      <c r="M47" s="172"/>
      <c r="N47" s="260"/>
      <c r="O47" s="260"/>
      <c r="P47" s="260"/>
      <c r="Q47" s="260"/>
      <c r="R47" s="256">
        <f>1</f>
        <v>1</v>
      </c>
      <c r="S47" s="172">
        <f>S48*(1+$D47)</f>
        <v>1.04137520464355</v>
      </c>
      <c r="T47" s="238">
        <f>T48+1</f>
        <v>1989</v>
      </c>
      <c r="U47" s="249">
        <f>(AI47-AI48)/AI48</f>
        <v>0.0413752046435482</v>
      </c>
      <c r="V47" s="240">
        <f>V48+1</f>
        <v>1988</v>
      </c>
      <c r="W47" s="262">
        <v>115.7</v>
      </c>
      <c r="X47" s="262">
        <v>116</v>
      </c>
      <c r="Y47" s="262">
        <v>116.5</v>
      </c>
      <c r="Z47" s="262">
        <v>117.1</v>
      </c>
      <c r="AA47" s="262">
        <v>117.5</v>
      </c>
      <c r="AB47" s="262">
        <v>118</v>
      </c>
      <c r="AC47" s="262">
        <v>118.5</v>
      </c>
      <c r="AD47" s="262">
        <v>119</v>
      </c>
      <c r="AE47" s="262">
        <v>119.8</v>
      </c>
      <c r="AF47" s="262">
        <v>120.2</v>
      </c>
      <c r="AG47" s="262">
        <v>120.3</v>
      </c>
      <c r="AH47" s="262">
        <v>120.5</v>
      </c>
      <c r="AI47" s="251">
        <f>(SUM(AE48:AH48)+SUM(W47:AD47))/12</f>
        <v>116.616666666667</v>
      </c>
    </row>
    <row r="48" ht="12.75" customHeight="1" spans="1:35" x14ac:dyDescent="0.25">
      <c r="A48" s="234">
        <v>1988</v>
      </c>
      <c r="B48" s="235">
        <f>SUM(AE49, AF49,AG49,AH49,W48,X48,Y48,Z48,AA48,AB48,AC48,AD48)/12</f>
        <v>111.983333333333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56">
        <f>1</f>
        <v>1</v>
      </c>
      <c r="T48" s="238">
        <f>T49+1</f>
        <v>1988</v>
      </c>
      <c r="U48" s="249"/>
      <c r="V48" s="240">
        <f>V49+1</f>
        <v>1987</v>
      </c>
      <c r="W48" s="263">
        <v>111.2</v>
      </c>
      <c r="X48" s="263">
        <v>111.6</v>
      </c>
      <c r="Y48" s="263">
        <v>112.1</v>
      </c>
      <c r="Z48" s="263">
        <v>112.7</v>
      </c>
      <c r="AA48" s="263">
        <v>113.1</v>
      </c>
      <c r="AB48" s="263">
        <v>113.5</v>
      </c>
      <c r="AC48" s="263">
        <v>113.8</v>
      </c>
      <c r="AD48" s="263">
        <v>114.4</v>
      </c>
      <c r="AE48" s="263">
        <v>115</v>
      </c>
      <c r="AF48" s="263">
        <v>115.3</v>
      </c>
      <c r="AG48" s="263">
        <v>115.4</v>
      </c>
      <c r="AH48" s="263">
        <v>115.4</v>
      </c>
      <c r="AI48" s="251">
        <f>(SUM(AE49:AH49)+SUM(W48:AD48))/12</f>
        <v>111.983333333333</v>
      </c>
    </row>
    <row r="49" ht="12.75" customHeight="1" spans="1:35" x14ac:dyDescent="0.25">
      <c r="A49" s="20"/>
      <c r="B49" s="235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T49" s="238">
        <v>1987</v>
      </c>
      <c r="U49" s="264"/>
      <c r="V49" s="240">
        <v>1986</v>
      </c>
      <c r="W49" s="263">
        <v>109.6</v>
      </c>
      <c r="X49" s="263">
        <v>109.3</v>
      </c>
      <c r="Y49" s="263">
        <v>108.8</v>
      </c>
      <c r="Z49" s="263">
        <v>108.6</v>
      </c>
      <c r="AA49" s="263">
        <v>108.9</v>
      </c>
      <c r="AB49" s="263">
        <v>109.5</v>
      </c>
      <c r="AC49" s="263">
        <v>109.5</v>
      </c>
      <c r="AD49" s="263">
        <v>109.7</v>
      </c>
      <c r="AE49" s="263">
        <v>110.2</v>
      </c>
      <c r="AF49" s="263">
        <v>110.3</v>
      </c>
      <c r="AG49" s="263">
        <v>110.4</v>
      </c>
      <c r="AH49" s="263">
        <v>110.5</v>
      </c>
      <c r="AI49" s="251">
        <f>(SUM(AE50:AH50)+SUM(W49:AD49))/12</f>
        <v>72.825</v>
      </c>
    </row>
    <row r="50" ht="12.75" customHeight="1" spans="1:35" x14ac:dyDescent="0.25">
      <c r="A50" s="20"/>
      <c r="B50" s="235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T50" s="265" t="s">
        <v>366</v>
      </c>
      <c r="U50" s="20"/>
      <c r="V50" s="20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52"/>
    </row>
    <row r="51" ht="12.75" customHeight="1" spans="1:35" x14ac:dyDescent="0.25">
      <c r="A51" s="20"/>
      <c r="B51" s="235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T51" s="265" t="s">
        <v>367</v>
      </c>
      <c r="U51" s="20"/>
      <c r="V51" s="20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52"/>
    </row>
    <row r="52" ht="12.75" customHeight="1" spans="20:20" x14ac:dyDescent="0.25">
      <c r="T52" s="265" t="s">
        <v>368</v>
      </c>
    </row>
    <row r="53" ht="12.75" customHeight="1" spans="20:20" x14ac:dyDescent="0.25">
      <c r="T53" s="265" t="s">
        <v>369</v>
      </c>
    </row>
    <row r="54" ht="45" customHeight="1" spans="1:13" x14ac:dyDescent="0.25">
      <c r="A54" s="181" t="s">
        <v>370</v>
      </c>
      <c r="J54" s="215" t="s">
        <v>371</v>
      </c>
      <c r="K54" s="215" t="s">
        <v>372</v>
      </c>
      <c r="L54" s="215" t="s">
        <v>373</v>
      </c>
      <c r="M54" s="266"/>
    </row>
    <row r="55" ht="27.75" customHeight="1" spans="1:34" x14ac:dyDescent="0.25">
      <c r="A55" s="220" t="s">
        <v>161</v>
      </c>
      <c r="B55" s="207" t="s">
        <v>344</v>
      </c>
      <c r="C55" s="207" t="s">
        <v>345</v>
      </c>
      <c r="D55" s="207" t="s">
        <v>346</v>
      </c>
      <c r="E55" s="207"/>
      <c r="F55" s="207"/>
      <c r="G55" s="207"/>
      <c r="H55" s="207"/>
      <c r="I55" s="207"/>
      <c r="J55" s="207" t="s">
        <v>374</v>
      </c>
      <c r="K55" s="207" t="s">
        <v>375</v>
      </c>
      <c r="L55" s="207" t="s">
        <v>376</v>
      </c>
      <c r="M55" s="207"/>
      <c r="V55" s="20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</row>
    <row r="56" ht="12.75" customHeight="1" spans="1:34" x14ac:dyDescent="0.25">
      <c r="A56" s="224" t="s">
        <v>377</v>
      </c>
      <c r="B56" s="268">
        <f>SUM(AC18, AD18, AE18, AF18,AG18,AH18,W17,X17,Y17,Z17,AA17,AB17)/12</f>
        <v>140.429333333333</v>
      </c>
      <c r="C56" s="269">
        <v>0.03</v>
      </c>
      <c r="D56" s="227">
        <f>C56</f>
        <v>0.03</v>
      </c>
      <c r="E56" s="227"/>
      <c r="F56" s="227"/>
      <c r="G56" s="227"/>
      <c r="H56" s="227"/>
      <c r="I56" s="172"/>
      <c r="J56" s="227">
        <f>J57*(1+$D56)</f>
        <v>1.39912582912913</v>
      </c>
      <c r="K56" s="227">
        <f>K57*(1+$D56)</f>
        <v>1.44122929772323</v>
      </c>
      <c r="L56" s="227">
        <f>L57*(1+$D56)</f>
        <v>1.53177342570356</v>
      </c>
      <c r="M56" s="227"/>
      <c r="T56" s="20"/>
      <c r="V56" s="20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3"/>
    </row>
    <row r="57" ht="12.75" customHeight="1" spans="1:34" x14ac:dyDescent="0.25">
      <c r="A57" s="224" t="s">
        <v>378</v>
      </c>
      <c r="B57" s="268">
        <f>SUM(AC19, AD19, AE19, AF19,AG19,AH19,W18,X18,Y18,Z18,AA18,AB18)/12</f>
        <v>155.202916666667</v>
      </c>
      <c r="C57" s="269">
        <v>0.03</v>
      </c>
      <c r="D57" s="227">
        <f>C57</f>
        <v>0.03</v>
      </c>
      <c r="E57" s="227"/>
      <c r="F57" s="227"/>
      <c r="G57" s="227"/>
      <c r="H57" s="227"/>
      <c r="I57" s="172"/>
      <c r="J57" s="227">
        <f>J58*(1+$D57)</f>
        <v>1.35837459138751</v>
      </c>
      <c r="K57" s="227">
        <f>K58*(1+$D57)</f>
        <v>1.39925174536236</v>
      </c>
      <c r="L57" s="227">
        <f>L58*(1+$D57)</f>
        <v>1.48715866573161</v>
      </c>
      <c r="M57" s="227"/>
      <c r="T57" s="20"/>
      <c r="V57" s="20"/>
      <c r="W57" s="212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</row>
    <row r="58" ht="12.75" customHeight="1" spans="1:22" x14ac:dyDescent="0.25">
      <c r="A58" s="224" t="s">
        <v>379</v>
      </c>
      <c r="B58" s="268">
        <f>SUM(AC20, AD20, AE20, AF20,AG20,AH20,W19,X19,Y19,Z19,AA19,AB19)/12</f>
        <v>238.273416666667</v>
      </c>
      <c r="C58" s="269">
        <v>0.03</v>
      </c>
      <c r="D58" s="227">
        <f>C58</f>
        <v>0.03</v>
      </c>
      <c r="E58" s="227"/>
      <c r="F58" s="227"/>
      <c r="G58" s="227"/>
      <c r="H58" s="227"/>
      <c r="I58" s="172"/>
      <c r="J58" s="227">
        <f>J59*(1+$D58)</f>
        <v>1.31881028290049</v>
      </c>
      <c r="K58" s="227">
        <f>K59*(1+$D58)</f>
        <v>1.35849684015763</v>
      </c>
      <c r="L58" s="227">
        <f>L59*(1+$D58)</f>
        <v>1.44384336478797</v>
      </c>
      <c r="M58" s="227"/>
      <c r="T58" s="20"/>
      <c r="V58" s="20"/>
    </row>
    <row r="59" ht="12.75" customHeight="1" spans="1:13" x14ac:dyDescent="0.25">
      <c r="A59" s="224" t="s">
        <v>380</v>
      </c>
      <c r="B59" s="268">
        <f>SUM(AC21, AD21, AE21, AF21,AG21,AH21,W20,X20,Y20,Z20,AA20,AB20)/12</f>
        <v>236.676583333333</v>
      </c>
      <c r="C59" s="269">
        <v>0.03</v>
      </c>
      <c r="D59" s="227">
        <f>C59</f>
        <v>0.03</v>
      </c>
      <c r="E59" s="227"/>
      <c r="F59" s="227"/>
      <c r="G59" s="227"/>
      <c r="H59" s="227"/>
      <c r="I59" s="172"/>
      <c r="J59" s="227">
        <f>J60*(1+$D59)</f>
        <v>1.2803983329131</v>
      </c>
      <c r="K59" s="227">
        <f>K60*(1+$D59)</f>
        <v>1.31892897102682</v>
      </c>
      <c r="L59" s="227">
        <f>L60*(1+$D59)</f>
        <v>1.40178967455143</v>
      </c>
      <c r="M59" s="227"/>
    </row>
    <row r="60" ht="12.75" customHeight="1" spans="1:13" x14ac:dyDescent="0.25">
      <c r="A60" s="224" t="s">
        <v>381</v>
      </c>
      <c r="B60" s="268">
        <f>SUM(AC22, AD22, AE22, AF22,AG22,AH22,W21,X21,Y21,Z21,AA21,AB21)/12</f>
        <v>234.965916666667</v>
      </c>
      <c r="C60" s="269">
        <v>0.03</v>
      </c>
      <c r="D60" s="227">
        <f>C60</f>
        <v>0.03</v>
      </c>
      <c r="E60" s="227"/>
      <c r="F60" s="227"/>
      <c r="G60" s="227"/>
      <c r="H60" s="227"/>
      <c r="I60" s="172"/>
      <c r="J60" s="227">
        <f>J61*(1+$D60)</f>
        <v>1.24310517758553</v>
      </c>
      <c r="K60" s="227">
        <f>K61*(1+$D60)</f>
        <v>1.28051356410371</v>
      </c>
      <c r="L60" s="227">
        <f>L61*(1+$D60)</f>
        <v>1.36096084907905</v>
      </c>
      <c r="M60" s="227"/>
    </row>
    <row r="61" ht="12.75" customHeight="1" spans="1:13" x14ac:dyDescent="0.25">
      <c r="A61" s="234" t="s">
        <v>382</v>
      </c>
      <c r="B61" s="235">
        <f>SUM(AC23, AD23, AE23, AF23,AG23,AH23,W22,X22,Y22,Z22,AA22,AB22)/12</f>
        <v>231.352333333333</v>
      </c>
      <c r="C61" s="64">
        <f>(B61-B62)/B62</f>
        <v>0.0166439808157166</v>
      </c>
      <c r="D61" s="172">
        <f>C61</f>
        <v>0.0166439808157166</v>
      </c>
      <c r="E61" s="227"/>
      <c r="F61" s="227"/>
      <c r="G61" s="227"/>
      <c r="H61" s="227"/>
      <c r="I61" s="172"/>
      <c r="J61" s="172">
        <f>J62*(1+$D61)</f>
        <v>1.20689823066557</v>
      </c>
      <c r="K61" s="172">
        <f>K62*(1+$D61)</f>
        <v>1.24321705252788</v>
      </c>
      <c r="L61" s="172">
        <f>L62*(1+$D61)</f>
        <v>1.32132121269811</v>
      </c>
      <c r="M61" s="172"/>
    </row>
    <row r="62" ht="12.75" customHeight="1" spans="1:13" x14ac:dyDescent="0.25">
      <c r="A62" s="234" t="s">
        <v>383</v>
      </c>
      <c r="B62" s="235">
        <f>SUM(AC24, AD24, AE24, AF24,AG24,AH24,W23,X23,Y23,Z23,AA23,AB23)/12</f>
        <v>227.56475</v>
      </c>
      <c r="C62" s="64">
        <f>(B62-B63)/B63</f>
        <v>0.0292987758222058</v>
      </c>
      <c r="D62" s="172">
        <f>C62</f>
        <v>0.0292987758222058</v>
      </c>
      <c r="E62" s="227"/>
      <c r="F62" s="227"/>
      <c r="G62" s="227"/>
      <c r="H62" s="227"/>
      <c r="I62" s="172"/>
      <c r="J62" s="172">
        <f>J63*(1+$D62)</f>
        <v>1.18713950354302</v>
      </c>
      <c r="K62" s="172">
        <f>K63*(1+$D62)</f>
        <v>1.2228637320317</v>
      </c>
      <c r="L62" s="172">
        <f>L63*(1+$D62)</f>
        <v>1.29968921041359</v>
      </c>
      <c r="M62" s="172"/>
    </row>
    <row r="63" ht="12.75" customHeight="1" spans="1:13" x14ac:dyDescent="0.25">
      <c r="A63" s="234" t="s">
        <v>384</v>
      </c>
      <c r="B63" s="235">
        <f>SUM(AC25, AD25, AE25, AF25,AG25,AH25,W24,X24,Y24,Z24,AA24,AB24)/12</f>
        <v>221.087166666667</v>
      </c>
      <c r="C63" s="64">
        <f>(B63-B64)/B64</f>
        <v>0.0200801977529404</v>
      </c>
      <c r="D63" s="172">
        <f>C63</f>
        <v>0.0200801977529404</v>
      </c>
      <c r="E63" s="172"/>
      <c r="F63" s="172"/>
      <c r="G63" s="172"/>
      <c r="H63" s="172"/>
      <c r="I63" s="172"/>
      <c r="J63" s="172">
        <f>J64*(1+$D63)</f>
        <v>1.15334782419684</v>
      </c>
      <c r="K63" s="172">
        <f>K64*(1+$D63)</f>
        <v>1.18805516994313</v>
      </c>
      <c r="L63" s="172">
        <f>L64*(1+$D63)</f>
        <v>1.26269382704298</v>
      </c>
      <c r="M63" s="172"/>
    </row>
    <row r="64" ht="12.75" customHeight="1" spans="1:13" x14ac:dyDescent="0.25">
      <c r="A64" s="234" t="s">
        <v>385</v>
      </c>
      <c r="B64" s="235">
        <f>SUM(AC26, AD26, AE26, AF26,AG26,AH26,W25,X25,Y25,Z25,AA25,AB25)/12</f>
        <v>216.735083333333</v>
      </c>
      <c r="C64" s="64">
        <f>(B64-B65)/B65</f>
        <v>0.00967742060714483</v>
      </c>
      <c r="D64" s="172">
        <f>C64</f>
        <v>0.00967742060714483</v>
      </c>
      <c r="E64" s="172"/>
      <c r="F64" s="172"/>
      <c r="G64" s="172"/>
      <c r="H64" s="172"/>
      <c r="I64" s="172"/>
      <c r="J64" s="172">
        <f>J65*(1+$D64)</f>
        <v>1.13064426379168</v>
      </c>
      <c r="K64" s="172">
        <f>K65*(1+$D64)</f>
        <v>1.16466839819086</v>
      </c>
      <c r="L64" s="172">
        <f>L65*(1+$D64)</f>
        <v>1.23783779924801</v>
      </c>
      <c r="M64" s="172"/>
    </row>
    <row r="65" ht="12.75" customHeight="1" spans="1:13" x14ac:dyDescent="0.25">
      <c r="A65" s="234" t="s">
        <v>386</v>
      </c>
      <c r="B65" s="235">
        <f>SUM(AC27, AD27, AE27, AF27,AG27,AH27,W26,X26,Y26,Z26,AA26,AB26)/12</f>
        <v>214.65775</v>
      </c>
      <c r="C65" s="64">
        <f>(B65-B66)/B66</f>
        <v>0.0139610443287858</v>
      </c>
      <c r="D65" s="172">
        <f>C65</f>
        <v>0.0139610443287858</v>
      </c>
      <c r="E65" s="172"/>
      <c r="F65" s="172"/>
      <c r="G65" s="172"/>
      <c r="H65" s="172"/>
      <c r="I65" s="172"/>
      <c r="J65" s="172">
        <f>J66*(1+$D65)</f>
        <v>1.11980741642394</v>
      </c>
      <c r="K65" s="172">
        <f>K66*(1+$D65)</f>
        <v>1.15350544086696</v>
      </c>
      <c r="L65" s="172">
        <f>L66*(1+$D65)</f>
        <v>1.22597353767074</v>
      </c>
      <c r="M65" s="172"/>
    </row>
    <row r="66" ht="12.75" customHeight="1" spans="1:13" x14ac:dyDescent="0.25">
      <c r="A66" s="234" t="s">
        <v>387</v>
      </c>
      <c r="B66" s="235">
        <f>SUM(AC28, AD28, AE28, AF28,AG28,AH28,W27,X27,Y27,Z27,AA27,AB27)/12</f>
        <v>211.702166666667</v>
      </c>
      <c r="C66" s="64">
        <f>(B66-B67)/B67</f>
        <v>0.0370550289959317</v>
      </c>
      <c r="D66" s="172">
        <f>C66</f>
        <v>0.0370550289959317</v>
      </c>
      <c r="E66" s="172"/>
      <c r="F66" s="172"/>
      <c r="G66" s="172"/>
      <c r="H66" s="172"/>
      <c r="I66" s="172"/>
      <c r="J66" s="172">
        <f>J67*(1+$D66)</f>
        <v>1.10438899274008</v>
      </c>
      <c r="K66" s="172">
        <f>K67*(1+$D66)</f>
        <v>1.13762303524249</v>
      </c>
      <c r="L66" s="172">
        <f>L67*(1+$D66)</f>
        <v>1.20909333206416</v>
      </c>
      <c r="M66" s="172"/>
    </row>
    <row r="67" ht="12.75" customHeight="1" spans="1:13" x14ac:dyDescent="0.25">
      <c r="A67" s="234" t="s">
        <v>388</v>
      </c>
      <c r="B67" s="235">
        <f>SUM(AC29, AD29, AE29, AF29,AG29,AH29,W28,X28,Y28,Z28,AA28,AB28)/12</f>
        <v>204.137833333333</v>
      </c>
      <c r="C67" s="64">
        <f>(B67-B68)/B68</f>
        <v>0.0258612169688848</v>
      </c>
      <c r="D67" s="172">
        <f>C67</f>
        <v>0.0258612169688848</v>
      </c>
      <c r="E67" s="172"/>
      <c r="F67" s="172"/>
      <c r="G67" s="172"/>
      <c r="H67" s="172"/>
      <c r="I67" s="172"/>
      <c r="J67" s="172">
        <f>J68*(1+$D67)</f>
        <v>1.06492805286267</v>
      </c>
      <c r="K67" s="172">
        <f>K68*(1+$D67)</f>
        <v>1.09697460928754</v>
      </c>
      <c r="L67" s="172">
        <f>L68*(1+$D67)</f>
        <v>1.1658911998477</v>
      </c>
      <c r="M67" s="172"/>
    </row>
    <row r="68" ht="12.75" customHeight="1" spans="1:13" x14ac:dyDescent="0.25">
      <c r="A68" s="234" t="s">
        <v>389</v>
      </c>
      <c r="B68" s="235">
        <f>SUM(AC30, AD30, AE30, AF30,AG30,AH30,W29,X29,Y29,Z29,AA29,AB29)/12</f>
        <v>198.991666666667</v>
      </c>
      <c r="C68" s="64">
        <f>(B68-B69)/B69</f>
        <v>0.0380819893057426</v>
      </c>
      <c r="D68" s="172">
        <f>C68</f>
        <v>0.0380819893057426</v>
      </c>
      <c r="E68" s="172"/>
      <c r="F68" s="172"/>
      <c r="G68" s="172"/>
      <c r="H68" s="172"/>
      <c r="I68" s="172"/>
      <c r="J68" s="172">
        <f>J69*(1+$D68)</f>
        <v>1.03808198930574</v>
      </c>
      <c r="K68" s="172">
        <f>K69*(1+$D68)</f>
        <v>1.06932067529443</v>
      </c>
      <c r="L68" s="172">
        <f>L69*(1+$D68)</f>
        <v>1.13649992860882</v>
      </c>
      <c r="M68" s="172"/>
    </row>
    <row r="69" ht="12.75" customHeight="1" spans="1:13" x14ac:dyDescent="0.25">
      <c r="A69" s="234" t="s">
        <v>390</v>
      </c>
      <c r="B69" s="235">
        <f>SUM(AC31, AD31, AE31, AF31,AG31,AH31,W30,X30,Y30,Z30,AA30,AB30)/12</f>
        <v>191.691666666667</v>
      </c>
      <c r="C69" s="64">
        <f>(B69-B70)/B70</f>
        <v>0.0300926962518473</v>
      </c>
      <c r="D69" s="172">
        <f>C69</f>
        <v>0.0300926962518473</v>
      </c>
      <c r="E69" s="172"/>
      <c r="F69" s="172"/>
      <c r="G69" s="172"/>
      <c r="H69" s="172"/>
      <c r="I69" s="172"/>
      <c r="J69" s="257">
        <v>1</v>
      </c>
      <c r="K69" s="172">
        <f>K70*(1+$D69)</f>
        <v>1.03009269625185</v>
      </c>
      <c r="L69" s="172">
        <f>L70*(1+$D69)</f>
        <v>1.09480748179525</v>
      </c>
      <c r="M69" s="172"/>
    </row>
    <row r="70" ht="12.75" customHeight="1" spans="1:13" x14ac:dyDescent="0.25">
      <c r="A70" s="234" t="s">
        <v>391</v>
      </c>
      <c r="B70" s="235">
        <f>SUM(AC32, AD32, AE32, AF32,AG32,AH32,W31,X31,Y31,Z31,AA31,AB31)/12</f>
        <v>186.091666666667</v>
      </c>
      <c r="C70" s="64">
        <f>(B70-B71)/B71</f>
        <v>0.0218734269894293</v>
      </c>
      <c r="D70" s="172">
        <f>C70</f>
        <v>0.0218734269894293</v>
      </c>
      <c r="E70" s="172"/>
      <c r="F70" s="172"/>
      <c r="G70" s="172"/>
      <c r="H70" s="172"/>
      <c r="I70" s="172"/>
      <c r="J70" s="172"/>
      <c r="K70" s="16">
        <v>1</v>
      </c>
      <c r="L70" s="172">
        <f>L71*(1+$D70)</f>
        <v>1.06282423492456</v>
      </c>
      <c r="M70" s="172"/>
    </row>
    <row r="71" ht="12.75" customHeight="1" spans="1:13" x14ac:dyDescent="0.25">
      <c r="A71" s="234" t="s">
        <v>392</v>
      </c>
      <c r="B71" s="235">
        <f>SUM(AC33, AD33, AE33, AF33,AG33,AH33,W32,X32,Y32,Z32,AA32,AB32)/12</f>
        <v>182.108333333333</v>
      </c>
      <c r="C71" s="64">
        <f>(B71-B72)/B72</f>
        <v>0.0219800776317635</v>
      </c>
      <c r="D71" s="172">
        <f>C71</f>
        <v>0.0219800776317635</v>
      </c>
      <c r="E71" s="172"/>
      <c r="F71" s="172"/>
      <c r="G71" s="172"/>
      <c r="H71" s="172"/>
      <c r="I71" s="172"/>
      <c r="J71" s="172"/>
      <c r="K71" s="172"/>
      <c r="L71" s="172">
        <f>L72*(1+$D71)</f>
        <v>1.04007424682309</v>
      </c>
      <c r="M71" s="172"/>
    </row>
    <row r="72" ht="12.75" customHeight="1" spans="1:13" x14ac:dyDescent="0.25">
      <c r="A72" s="234" t="s">
        <v>393</v>
      </c>
      <c r="B72" s="235">
        <f>SUM(AC34, AD34, AE34, AF34,AG34,AH34,W33,X33,Y33,Z33,AA33,AB33)/12</f>
        <v>178.191666666667</v>
      </c>
      <c r="C72" s="64">
        <f>(B72-B73)/B73</f>
        <v>0.0177050116605589</v>
      </c>
      <c r="D72" s="172">
        <f>C72</f>
        <v>0.0177050116605589</v>
      </c>
      <c r="E72" s="172"/>
      <c r="F72" s="172"/>
      <c r="G72" s="172"/>
      <c r="H72" s="172"/>
      <c r="I72" s="172"/>
      <c r="J72" s="257"/>
      <c r="K72" s="257"/>
      <c r="L72" s="172">
        <f>L73*(1+$D72)</f>
        <v>1.01770501166056</v>
      </c>
      <c r="M72" s="172"/>
    </row>
    <row r="73" ht="12.75" customHeight="1" spans="1:12" x14ac:dyDescent="0.25">
      <c r="A73" s="234" t="s">
        <v>394</v>
      </c>
      <c r="B73" s="235">
        <f>SUM(AC35, AD35, AE35, AF35,AG35,AH35,W34,X34,Y34,Z34,AA34,AB34)/12</f>
        <v>175.091666666667</v>
      </c>
      <c r="C73" s="64">
        <f>(B73-B74)/B74</f>
        <v>0.0342603987201576</v>
      </c>
      <c r="D73" s="172">
        <f>C73</f>
        <v>0.0342603987201576</v>
      </c>
      <c r="E73" s="172"/>
      <c r="F73" s="172"/>
      <c r="G73" s="172"/>
      <c r="H73" s="172"/>
      <c r="I73" s="172"/>
      <c r="J73" s="172"/>
      <c r="K73" s="172"/>
      <c r="L73" s="16">
        <v>1</v>
      </c>
    </row>
    <row r="74" ht="12.75" customHeight="1" spans="1:11" x14ac:dyDescent="0.25">
      <c r="A74" s="234" t="s">
        <v>395</v>
      </c>
      <c r="B74" s="235">
        <f>SUM(AC36, AD36, AE36, AF36,AG36,AH36,W35,X35,Y35,Z35,AA35,AB35)/12</f>
        <v>169.291666666667</v>
      </c>
      <c r="C74" s="64">
        <f>(B74-B75)/B75</f>
        <v>0.0288680678652824</v>
      </c>
      <c r="D74" s="172">
        <f>C74</f>
        <v>0.0288680678652824</v>
      </c>
      <c r="E74" s="172"/>
      <c r="F74" s="172"/>
      <c r="G74" s="172"/>
      <c r="H74" s="172"/>
      <c r="I74" s="172"/>
      <c r="J74" s="172"/>
      <c r="K74" s="172"/>
    </row>
    <row r="75" ht="12.75" customHeight="1" spans="1:10" x14ac:dyDescent="0.25">
      <c r="A75" s="234" t="s">
        <v>396</v>
      </c>
      <c r="B75" s="235">
        <f>SUM(AC37, AD37, AE37, AF37,AG37,AH37,W36,X36,Y36,Z36,AA36,AB36)/12</f>
        <v>164.541666666667</v>
      </c>
      <c r="C75" s="64"/>
      <c r="D75" s="172"/>
      <c r="E75" s="172"/>
      <c r="F75" s="172"/>
      <c r="G75" s="172"/>
      <c r="H75" s="172"/>
      <c r="I75" s="172"/>
      <c r="J75" s="172"/>
    </row>
  </sheetData>
  <pageMargins left="0.75" right="0.75" top="1" bottom="1" header="0.511811023622047" footer="0.511811023622047"/>
  <pageSetup paperSize="1" orientation="landscape" horizontalDpi="300" verticalDpi="30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 zoomScale="90" zoomScaleNormal="90" view="normal">
      <selection activeCell="C85" sqref="C85"/>
    </sheetView>
  </sheetViews>
  <sheetFormatPr defaultRowHeight="12.75" outlineLevelRow="0" outlineLevelCol="0" x14ac:dyDescent="0" defaultColWidth="9.1640625" customHeight="1"/>
  <cols>
    <col min="1" max="1" width="14.67" style="16" customWidth="1"/>
    <col min="2" max="2" width="15.66" style="16" customWidth="1"/>
    <col min="3" max="3" width="14.83" style="16" customWidth="1"/>
    <col min="4" max="5" width="14.67" style="16" customWidth="1"/>
    <col min="6" max="6" width="15.66" style="16" customWidth="1"/>
    <col min="7" max="8" width="12.67" style="16" customWidth="1"/>
    <col min="9" max="9" width="14.83" style="16" customWidth="1"/>
    <col min="10" max="10" width="15.66" style="16" customWidth="1"/>
    <col min="11" max="11" width="12.5" style="16" customWidth="1"/>
    <col min="12" max="31" width="12.67" style="16" customWidth="1"/>
    <col min="32" max="16384" width="9.16" style="16" customWidth="1"/>
  </cols>
  <sheetData>
    <row r="1" ht="18" customHeight="1" spans="1:1" x14ac:dyDescent="0.25">
      <c r="A1" s="14" t="s">
        <v>397</v>
      </c>
    </row>
    <row r="2" ht="12.75" customHeight="1" spans="1:1" x14ac:dyDescent="0.25">
      <c r="A2" s="16" t="s">
        <v>176</v>
      </c>
    </row>
    <row r="3" ht="12.75" customHeight="1" spans="1:1" x14ac:dyDescent="0.25">
      <c r="A3" s="16" t="s">
        <v>280</v>
      </c>
    </row>
    <row r="4" ht="12.75" customHeight="1" spans="1:1" x14ac:dyDescent="0.25">
      <c r="A4" s="21" t="s">
        <v>146</v>
      </c>
    </row>
    <row r="5" ht="12.75" customHeight="1" spans="1:1" x14ac:dyDescent="0.25">
      <c r="A5" s="20" t="s">
        <v>177</v>
      </c>
    </row>
    <row r="6" ht="12.75" customHeight="1" spans="1:2" x14ac:dyDescent="0.25">
      <c r="A6" s="75" t="s">
        <v>178</v>
      </c>
      <c r="B6" s="20" t="s">
        <v>179</v>
      </c>
    </row>
    <row r="7" ht="12.75" customHeight="1" spans="1:2" x14ac:dyDescent="0.25">
      <c r="A7" s="76" t="s">
        <v>180</v>
      </c>
      <c r="B7" s="20" t="s">
        <v>181</v>
      </c>
    </row>
    <row r="8" ht="12.75" customHeight="1" spans="1:2" x14ac:dyDescent="0.25">
      <c r="A8" s="76"/>
      <c r="B8" s="20"/>
    </row>
    <row r="9" ht="15.75" customHeight="1" spans="1:13" x14ac:dyDescent="0.25">
      <c r="A9" s="270" t="s">
        <v>398</v>
      </c>
      <c r="B9" s="270"/>
      <c r="C9" s="270"/>
      <c r="D9" s="270"/>
      <c r="E9" s="270"/>
      <c r="F9" s="45"/>
      <c r="G9" s="45"/>
      <c r="M9" s="15"/>
    </row>
    <row r="10" ht="12.75" customHeight="1" spans="1:17" x14ac:dyDescent="0.25">
      <c r="A10" s="34"/>
      <c r="B10" s="79"/>
      <c r="C10" s="45"/>
      <c r="D10" s="45"/>
      <c r="E10" s="45"/>
      <c r="F10" s="45"/>
      <c r="G10" s="45"/>
      <c r="H10" s="15"/>
      <c r="I10" s="15"/>
      <c r="J10" s="15"/>
      <c r="K10" s="15"/>
      <c r="L10" s="15"/>
      <c r="M10" s="15"/>
      <c r="Q10" s="55"/>
    </row>
    <row r="11" ht="15.75" customHeight="1" spans="1:17" x14ac:dyDescent="0.25">
      <c r="A11" s="181" t="s">
        <v>399</v>
      </c>
      <c r="B11" s="53"/>
      <c r="C11" s="45"/>
      <c r="D11" s="45"/>
      <c r="E11" s="45"/>
      <c r="F11" s="15"/>
      <c r="G11" s="15"/>
      <c r="H11" s="15"/>
      <c r="I11" s="15"/>
      <c r="J11" s="15"/>
      <c r="K11" s="15"/>
      <c r="L11" s="15"/>
      <c r="Q11" s="55"/>
    </row>
    <row r="12" ht="12.75" customHeight="1" spans="1:17" x14ac:dyDescent="0.25">
      <c r="A12" s="20" t="s">
        <v>400</v>
      </c>
      <c r="B12" s="53"/>
      <c r="C12" s="45"/>
      <c r="D12" s="45"/>
      <c r="E12" s="45"/>
      <c r="F12" s="15"/>
      <c r="G12" s="15"/>
      <c r="H12" s="15"/>
      <c r="I12" s="15"/>
      <c r="J12" s="15"/>
      <c r="K12" s="15"/>
      <c r="L12" s="15"/>
      <c r="Q12" s="55"/>
    </row>
    <row r="13" ht="42" customHeight="1" spans="1:17" s="271" customFormat="1" x14ac:dyDescent="0.25">
      <c r="A13" s="55" t="s">
        <v>6</v>
      </c>
      <c r="B13" s="272" t="s">
        <v>185</v>
      </c>
      <c r="C13" s="207" t="s">
        <v>401</v>
      </c>
      <c r="D13" s="207" t="s">
        <v>402</v>
      </c>
      <c r="E13" s="273" t="s">
        <v>403</v>
      </c>
      <c r="F13" s="274" t="s">
        <v>185</v>
      </c>
      <c r="G13" s="207" t="s">
        <v>404</v>
      </c>
      <c r="H13" s="207" t="s">
        <v>405</v>
      </c>
      <c r="I13" s="207" t="s">
        <v>406</v>
      </c>
      <c r="J13" s="275" t="s">
        <v>185</v>
      </c>
      <c r="K13" s="207" t="s">
        <v>407</v>
      </c>
      <c r="L13" s="207" t="s">
        <v>408</v>
      </c>
      <c r="M13" s="207" t="s">
        <v>409</v>
      </c>
      <c r="N13" s="221" t="s">
        <v>410</v>
      </c>
      <c r="O13" s="207" t="s">
        <v>411</v>
      </c>
      <c r="P13" s="207" t="s">
        <v>412</v>
      </c>
      <c r="Q13" s="276"/>
    </row>
    <row r="14" ht="12.75" customHeight="1" spans="1:17" s="271" customFormat="1" x14ac:dyDescent="0.25">
      <c r="A14" s="27">
        <f>+A15+1</f>
        <v>2022</v>
      </c>
      <c r="B14" s="185">
        <f>'CPI-W Calcs'!$I14</f>
        <v>1.50331011890318</v>
      </c>
      <c r="C14" s="42">
        <f>C$34*$B14</f>
        <v>60132.4047561271</v>
      </c>
      <c r="D14" s="42">
        <f>+TRUNC(C14/1000)*1000</f>
        <v>60000</v>
      </c>
      <c r="E14" s="277">
        <v>61000</v>
      </c>
      <c r="F14" s="185">
        <f>'CPI-W Calcs'!$I14</f>
        <v>1.50331011890318</v>
      </c>
      <c r="G14" s="42">
        <f>G$34*$B14</f>
        <v>300662.023780636</v>
      </c>
      <c r="H14" s="42">
        <f>+TRUNC(G15/5000)*5000</f>
        <v>290000</v>
      </c>
      <c r="I14" s="29">
        <v>305000</v>
      </c>
      <c r="J14" s="278">
        <f>'CPI-W Calcs'!F14</f>
        <v>1.37847470072538</v>
      </c>
      <c r="K14" s="42">
        <f>K$30*$J14</f>
        <v>20677.1205108807</v>
      </c>
      <c r="L14" s="42">
        <f>+TRUNC(K14/500)*500</f>
        <v>20500</v>
      </c>
      <c r="M14" s="277">
        <v>20500</v>
      </c>
      <c r="N14" s="41">
        <f>N$30*$J14</f>
        <v>6892.3735036269</v>
      </c>
      <c r="O14" s="42">
        <f>+TRUNC(N14/500)*500</f>
        <v>6500</v>
      </c>
      <c r="P14" s="277">
        <v>6500</v>
      </c>
      <c r="Q14" s="276"/>
    </row>
    <row r="15" ht="12.75" customHeight="1" spans="1:17" x14ac:dyDescent="0.25">
      <c r="A15" s="18">
        <f>+A16+1</f>
        <v>2021</v>
      </c>
      <c r="B15" s="190">
        <f>'CPI-W Calcs'!$I15</f>
        <v>1.45952438728464</v>
      </c>
      <c r="C15" s="45">
        <f>C$34*$B15</f>
        <v>58380.9754913856</v>
      </c>
      <c r="D15" s="45">
        <f>+TRUNC(C15/1000)*1000</f>
        <v>58000</v>
      </c>
      <c r="E15" s="191">
        <v>58000</v>
      </c>
      <c r="F15" s="190">
        <f>'CPI-W Calcs'!$I15</f>
        <v>1.45952438728464</v>
      </c>
      <c r="G15" s="45">
        <f>G$34*$B15</f>
        <v>291904.877456928</v>
      </c>
      <c r="H15" s="279">
        <f>+TRUNC(G16/5000)*5000</f>
        <v>285000</v>
      </c>
      <c r="I15" s="279">
        <v>290000</v>
      </c>
      <c r="J15" s="280">
        <f>'CPI-W Calcs'!F15</f>
        <v>1.33832495216056</v>
      </c>
      <c r="K15" s="45">
        <f>K$30*$J15</f>
        <v>20074.8742824084</v>
      </c>
      <c r="L15" s="279">
        <f>+TRUNC(K15/500)*500</f>
        <v>20000</v>
      </c>
      <c r="M15" s="281">
        <v>19500</v>
      </c>
      <c r="N15" s="44">
        <f>N$30*$J15</f>
        <v>6691.62476080281</v>
      </c>
      <c r="O15" s="45">
        <f>+TRUNC(N15/500)*500</f>
        <v>6500</v>
      </c>
      <c r="P15" s="191">
        <v>6500</v>
      </c>
      <c r="Q15" s="55"/>
    </row>
    <row r="16" ht="12.75" customHeight="1" spans="1:17" s="271" customFormat="1" x14ac:dyDescent="0.25">
      <c r="A16" s="18">
        <f>+A17+1</f>
        <v>2020</v>
      </c>
      <c r="B16" s="190">
        <f>'CPI-W Calcs'!$I16</f>
        <v>1.43891385586023</v>
      </c>
      <c r="C16" s="45">
        <f>C$34*$B16</f>
        <v>57556.5542344091</v>
      </c>
      <c r="D16" s="45">
        <f>+TRUNC(C16/1000)*1000</f>
        <v>57000</v>
      </c>
      <c r="E16" s="193">
        <v>57000</v>
      </c>
      <c r="F16" s="190">
        <f>'CPI-W Calcs'!$I16</f>
        <v>1.43891385586023</v>
      </c>
      <c r="G16" s="45">
        <f>G$34*$B16</f>
        <v>287782.771172046</v>
      </c>
      <c r="H16" s="279">
        <f>+TRUNC(G17/5000)*5000</f>
        <v>280000</v>
      </c>
      <c r="I16" s="282">
        <v>285000</v>
      </c>
      <c r="J16" s="280">
        <f>'CPI-W Calcs'!F16</f>
        <v>1.31942592675003</v>
      </c>
      <c r="K16" s="45">
        <f>K$30*$J16</f>
        <v>19791.3889012505</v>
      </c>
      <c r="L16" s="45">
        <f>+TRUNC(K16/500)*500</f>
        <v>19500</v>
      </c>
      <c r="M16" s="193">
        <v>19500</v>
      </c>
      <c r="N16" s="44">
        <f>N$30*$J16</f>
        <v>6597.12963375017</v>
      </c>
      <c r="O16" s="45">
        <f>+TRUNC(N16/500)*500</f>
        <v>6500</v>
      </c>
      <c r="P16" s="193">
        <v>6500</v>
      </c>
      <c r="Q16" s="276"/>
    </row>
    <row r="17" ht="12.75" customHeight="1" spans="1:17" s="271" customFormat="1" x14ac:dyDescent="0.25">
      <c r="A17" s="18">
        <f>+A18+1</f>
        <v>2019</v>
      </c>
      <c r="B17" s="283">
        <f>'CPI-W Calcs'!$I17</f>
        <v>1.4101975248726</v>
      </c>
      <c r="C17" s="45">
        <f>C$34*$B17</f>
        <v>56407.9009949041</v>
      </c>
      <c r="D17" s="45">
        <f>+TRUNC(C17/1000)*1000</f>
        <v>56000</v>
      </c>
      <c r="E17" s="193">
        <v>56000</v>
      </c>
      <c r="F17" s="283">
        <f>'CPI-W Calcs'!$I17</f>
        <v>1.4101975248726</v>
      </c>
      <c r="G17" s="45">
        <f>G$34*$B17</f>
        <v>282039.504974521</v>
      </c>
      <c r="H17" s="279">
        <f>+TRUNC(G18/5000)*5000</f>
        <v>275000</v>
      </c>
      <c r="I17" s="284">
        <v>280000</v>
      </c>
      <c r="J17" s="285">
        <f>'CPI-W Calcs'!F17</f>
        <v>1.29309421031552</v>
      </c>
      <c r="K17" s="45">
        <f>K$30*$J17</f>
        <v>19396.4131547328</v>
      </c>
      <c r="L17" s="45">
        <f>+TRUNC(K17/500)*500</f>
        <v>19000</v>
      </c>
      <c r="M17" s="193">
        <v>19000</v>
      </c>
      <c r="N17" s="44">
        <f>N$30*$J17</f>
        <v>6465.47105157759</v>
      </c>
      <c r="O17" s="45">
        <f>+TRUNC(N17/500)*500</f>
        <v>6000</v>
      </c>
      <c r="P17" s="193">
        <v>6000</v>
      </c>
      <c r="Q17" s="276"/>
    </row>
    <row r="18" ht="12.75" customHeight="1" spans="1:17" x14ac:dyDescent="0.25">
      <c r="A18" s="18">
        <f>+A19+1</f>
        <v>2018</v>
      </c>
      <c r="B18" s="283">
        <f>'CPI-W Calcs'!$I18</f>
        <v>1.37798980829896</v>
      </c>
      <c r="C18" s="45">
        <f>C$34*$B18</f>
        <v>55119.5923319583</v>
      </c>
      <c r="D18" s="45">
        <f>+TRUNC(C18/1000)*1000</f>
        <v>55000</v>
      </c>
      <c r="E18" s="193">
        <v>55000</v>
      </c>
      <c r="F18" s="283">
        <f>'CPI-W Calcs'!$I18</f>
        <v>1.37798980829896</v>
      </c>
      <c r="G18" s="45">
        <f>G$34*$B18</f>
        <v>275597.961659791</v>
      </c>
      <c r="H18" s="279">
        <f>+TRUNC(G19/5000)*5000</f>
        <v>270000</v>
      </c>
      <c r="I18" s="284">
        <v>275000</v>
      </c>
      <c r="J18" s="285">
        <f>'CPI-W Calcs'!F18</f>
        <v>1.26356103422189</v>
      </c>
      <c r="K18" s="45">
        <f>K$30*$J18</f>
        <v>18953.4155133283</v>
      </c>
      <c r="L18" s="45">
        <f>+TRUNC(K18/500)*500</f>
        <v>18500</v>
      </c>
      <c r="M18" s="193">
        <v>18500</v>
      </c>
      <c r="N18" s="44">
        <f>N$30*$J18</f>
        <v>6317.80517110943</v>
      </c>
      <c r="O18" s="45">
        <f>+TRUNC(N18/500)*500</f>
        <v>6000</v>
      </c>
      <c r="P18" s="193">
        <v>6000</v>
      </c>
      <c r="Q18" s="55"/>
    </row>
    <row r="19" ht="12.75" customHeight="1" spans="1:17" x14ac:dyDescent="0.25">
      <c r="A19" s="18">
        <f>+A20+1</f>
        <v>2017</v>
      </c>
      <c r="B19" s="283">
        <f>'CPI-W Calcs'!$I19</f>
        <v>1.35507061392866</v>
      </c>
      <c r="C19" s="45">
        <f>C$34*$B19</f>
        <v>54202.8245571463</v>
      </c>
      <c r="D19" s="45">
        <f>+TRUNC(C19/1000)*1000</f>
        <v>54000</v>
      </c>
      <c r="E19" s="193">
        <v>54000</v>
      </c>
      <c r="F19" s="283">
        <f>'CPI-W Calcs'!$I19</f>
        <v>1.35507061392866</v>
      </c>
      <c r="G19" s="45">
        <f>G$34*$B19</f>
        <v>271014.122785732</v>
      </c>
      <c r="H19" s="45">
        <f>+TRUNC(G19/5000)*5000</f>
        <v>270000</v>
      </c>
      <c r="I19" s="193">
        <v>270000</v>
      </c>
      <c r="J19" s="285">
        <f>'CPI-W Calcs'!F19</f>
        <v>1.24254505807485</v>
      </c>
      <c r="K19" s="45">
        <f>K$30*$J19</f>
        <v>18638.1758711228</v>
      </c>
      <c r="L19" s="279">
        <f>+TRUNC(K19/500)*500</f>
        <v>18500</v>
      </c>
      <c r="M19" s="284">
        <v>18000</v>
      </c>
      <c r="N19" s="44">
        <f>N$30*$J19</f>
        <v>6212.72529037426</v>
      </c>
      <c r="O19" s="45">
        <f>+TRUNC(N19/500)*500</f>
        <v>6000</v>
      </c>
      <c r="P19" s="193">
        <v>6000</v>
      </c>
      <c r="Q19" s="55"/>
    </row>
    <row r="20" ht="12.75" customHeight="1" spans="1:16" x14ac:dyDescent="0.25">
      <c r="A20" s="18">
        <f>+A21+1</f>
        <v>2016</v>
      </c>
      <c r="B20" s="283">
        <f>'CPI-W Calcs'!$I20</f>
        <v>1.35133025964572</v>
      </c>
      <c r="C20" s="45">
        <f>C$34*$B20</f>
        <v>54053.2103858287</v>
      </c>
      <c r="D20" s="45">
        <f>+TRUNC(C20/1000)*1000</f>
        <v>54000</v>
      </c>
      <c r="E20" s="193">
        <v>53000</v>
      </c>
      <c r="F20" s="283">
        <f>'CPI-W Calcs'!$I20</f>
        <v>1.35133025964572</v>
      </c>
      <c r="G20" s="45">
        <f>G$34*$B20</f>
        <v>270266.051929143</v>
      </c>
      <c r="H20" s="45">
        <f>+TRUNC(G20/5000)*5000</f>
        <v>270000</v>
      </c>
      <c r="I20" s="193">
        <v>265000</v>
      </c>
      <c r="J20" s="285">
        <f>'CPI-W Calcs'!F20</f>
        <v>1.23911530416982</v>
      </c>
      <c r="K20" s="45">
        <f>K$30*$J20</f>
        <v>18586.7295625473</v>
      </c>
      <c r="L20" s="45">
        <f>+TRUNC(K20/500)*500</f>
        <v>18500</v>
      </c>
      <c r="M20" s="193">
        <v>18000</v>
      </c>
      <c r="N20" s="44">
        <f>N$30*$J20</f>
        <v>6195.5765208491</v>
      </c>
      <c r="O20" s="45">
        <f>+TRUNC(N20/500)*500</f>
        <v>6000</v>
      </c>
      <c r="P20" s="193">
        <v>6000</v>
      </c>
    </row>
    <row r="21" ht="12.75" customHeight="1" spans="1:16" x14ac:dyDescent="0.25">
      <c r="A21" s="18">
        <f>+A22+1</f>
        <v>2015</v>
      </c>
      <c r="B21" s="283">
        <f>'CPI-W Calcs'!$I21</f>
        <v>1.34668963843727</v>
      </c>
      <c r="C21" s="45">
        <f>C$34*$B21</f>
        <v>53867.5855374909</v>
      </c>
      <c r="D21" s="45">
        <f>+TRUNC(C21/1000)*1000</f>
        <v>53000</v>
      </c>
      <c r="E21" s="193">
        <v>53000</v>
      </c>
      <c r="F21" s="283">
        <f>'CPI-W Calcs'!$I21</f>
        <v>1.34668963843727</v>
      </c>
      <c r="G21" s="45">
        <f>G$34*$B21</f>
        <v>269337.927687455</v>
      </c>
      <c r="H21" s="45">
        <f>+TRUNC(G21/5000)*5000</f>
        <v>265000</v>
      </c>
      <c r="I21" s="193">
        <v>265000</v>
      </c>
      <c r="J21" s="285">
        <f>'CPI-W Calcs'!F21</f>
        <v>1.23486004183169</v>
      </c>
      <c r="K21" s="45">
        <f>K$30*$J21</f>
        <v>18522.9006274754</v>
      </c>
      <c r="L21" s="45">
        <f>+TRUNC(K21/500)*500</f>
        <v>18500</v>
      </c>
      <c r="M21" s="193">
        <v>18000</v>
      </c>
      <c r="N21" s="44">
        <f>N$30*$J21</f>
        <v>6174.30020915847</v>
      </c>
      <c r="O21" s="45">
        <f>+TRUNC(N21/500)*500</f>
        <v>6000</v>
      </c>
      <c r="P21" s="193">
        <v>6000</v>
      </c>
    </row>
    <row r="22" ht="12.75" customHeight="1" spans="1:16" x14ac:dyDescent="0.25">
      <c r="A22" s="18">
        <f>+A23+1</f>
        <v>2014</v>
      </c>
      <c r="B22" s="283">
        <f>'CPI-W Calcs'!$I22</f>
        <v>1.32692841543315</v>
      </c>
      <c r="C22" s="45">
        <f>C$34*$B22</f>
        <v>53077.1366173259</v>
      </c>
      <c r="D22" s="45">
        <f>+TRUNC(C22/1000)*1000</f>
        <v>53000</v>
      </c>
      <c r="E22" s="193">
        <v>52000</v>
      </c>
      <c r="F22" s="283">
        <f>'CPI-W Calcs'!$I22</f>
        <v>1.32692841543315</v>
      </c>
      <c r="G22" s="45">
        <f>G$34*$B22</f>
        <v>265385.68308663</v>
      </c>
      <c r="H22" s="45">
        <f>+TRUNC(G22/5000)*5000</f>
        <v>265000</v>
      </c>
      <c r="I22" s="193">
        <v>260000</v>
      </c>
      <c r="J22" s="285">
        <f>'CPI-W Calcs'!F22</f>
        <v>1.21673979796182</v>
      </c>
      <c r="K22" s="45">
        <f>K$30*$J22</f>
        <v>18251.0969694273</v>
      </c>
      <c r="L22" s="279">
        <f>+TRUNC(K22/500)*500</f>
        <v>18000</v>
      </c>
      <c r="M22" s="284">
        <v>17500</v>
      </c>
      <c r="N22" s="44">
        <f>N$30*$J22</f>
        <v>6083.69898980909</v>
      </c>
      <c r="O22" s="279">
        <f>+TRUNC(N22/500)*500</f>
        <v>6000</v>
      </c>
      <c r="P22" s="284">
        <v>5500</v>
      </c>
    </row>
    <row r="23" ht="12.75" customHeight="1" spans="1:16" x14ac:dyDescent="0.25">
      <c r="A23" s="18">
        <f>+A24+1</f>
        <v>2013</v>
      </c>
      <c r="B23" s="283">
        <f>'CPI-W Calcs'!$I23</f>
        <v>1.30609415190488</v>
      </c>
      <c r="C23" s="45">
        <f>C$34*$B23</f>
        <v>52243.7660761951</v>
      </c>
      <c r="D23" s="45">
        <f>+TRUNC(C23/1000)*1000</f>
        <v>52000</v>
      </c>
      <c r="E23" s="193">
        <v>51000</v>
      </c>
      <c r="F23" s="283">
        <f>'CPI-W Calcs'!$I23</f>
        <v>1.30609415190488</v>
      </c>
      <c r="G23" s="45">
        <f>G$34*$B23</f>
        <v>261218.830380975</v>
      </c>
      <c r="H23" s="45">
        <f>+TRUNC(G23/5000)*5000</f>
        <v>260000</v>
      </c>
      <c r="I23" s="193">
        <v>255000</v>
      </c>
      <c r="J23" s="285">
        <f>'CPI-W Calcs'!F23</f>
        <v>1.19763561924258</v>
      </c>
      <c r="K23" s="45">
        <f>K$30*$J23</f>
        <v>17964.5342886387</v>
      </c>
      <c r="L23" s="45">
        <f>+TRUNC(K23/500)*500</f>
        <v>17500</v>
      </c>
      <c r="M23" s="193">
        <v>17500</v>
      </c>
      <c r="N23" s="44">
        <f>N$30*$J23</f>
        <v>5988.1780962129</v>
      </c>
      <c r="O23" s="45">
        <f>+TRUNC(N23/500)*500</f>
        <v>5500</v>
      </c>
      <c r="P23" s="193">
        <v>5500</v>
      </c>
    </row>
    <row r="24" ht="12.75" customHeight="1" spans="1:16" x14ac:dyDescent="0.25">
      <c r="A24" s="18">
        <f>+A25+1</f>
        <v>2012</v>
      </c>
      <c r="B24" s="283">
        <f>'CPI-W Calcs'!$I24</f>
        <v>1.2658199466149</v>
      </c>
      <c r="C24" s="45">
        <f>C$34*$B24</f>
        <v>50632.797864596</v>
      </c>
      <c r="D24" s="45">
        <f>+TRUNC(C24/1000)*1000</f>
        <v>50000</v>
      </c>
      <c r="E24" s="193">
        <v>50000</v>
      </c>
      <c r="F24" s="283">
        <f>'CPI-W Calcs'!$I24</f>
        <v>1.2658199466149</v>
      </c>
      <c r="G24" s="45">
        <f>G$34*$B24</f>
        <v>253163.98932298</v>
      </c>
      <c r="H24" s="45">
        <f>+TRUNC(G24/5000)*5000</f>
        <v>250000</v>
      </c>
      <c r="I24" s="193">
        <v>250000</v>
      </c>
      <c r="J24" s="285">
        <f>'CPI-W Calcs'!F24</f>
        <v>1.16070579858484</v>
      </c>
      <c r="K24" s="45">
        <f>K$30*$J24</f>
        <v>17410.5869787726</v>
      </c>
      <c r="L24" s="45">
        <f>+TRUNC(K24/500)*500</f>
        <v>17000</v>
      </c>
      <c r="M24" s="193">
        <v>17000</v>
      </c>
      <c r="N24" s="44">
        <f>N$30*$J24</f>
        <v>5803.52899292421</v>
      </c>
      <c r="O24" s="45">
        <f>+TRUNC(N24/500)*500</f>
        <v>5500</v>
      </c>
      <c r="P24" s="193">
        <v>5500</v>
      </c>
    </row>
    <row r="25" ht="12.75" customHeight="1" spans="1:16" x14ac:dyDescent="0.25">
      <c r="A25" s="18">
        <f>+A26+1</f>
        <v>2011</v>
      </c>
      <c r="B25" s="283">
        <f>'CPI-W Calcs'!$I25</f>
        <v>1.23698956563941</v>
      </c>
      <c r="C25" s="45">
        <f>C$34*$B25</f>
        <v>49479.5826255763</v>
      </c>
      <c r="D25" s="45">
        <f>+TRUNC(C25/1000)*1000</f>
        <v>49000</v>
      </c>
      <c r="E25" s="193">
        <v>49000</v>
      </c>
      <c r="F25" s="283">
        <f>'CPI-W Calcs'!$I25</f>
        <v>1.23698956563941</v>
      </c>
      <c r="G25" s="45">
        <f>G$34*$B25</f>
        <v>247397.913127882</v>
      </c>
      <c r="H25" s="45">
        <f>+TRUNC(G25/5000)*5000</f>
        <v>245000</v>
      </c>
      <c r="I25" s="193">
        <v>245000</v>
      </c>
      <c r="J25" s="285">
        <f>'CPI-W Calcs'!F25</f>
        <v>1.13426950291487</v>
      </c>
      <c r="K25" s="45">
        <f>K$30*$J25</f>
        <v>17014.042543723</v>
      </c>
      <c r="L25" s="45">
        <f>+TRUNC(K25/500)*500</f>
        <v>17000</v>
      </c>
      <c r="M25" s="193">
        <v>16500</v>
      </c>
      <c r="N25" s="44">
        <f>N$30*$J25</f>
        <v>5671.34751457434</v>
      </c>
      <c r="O25" s="45">
        <f>+TRUNC(N25/500)*500</f>
        <v>5500</v>
      </c>
      <c r="P25" s="193">
        <v>5500</v>
      </c>
    </row>
    <row r="26" ht="12.75" customHeight="1" spans="1:16" x14ac:dyDescent="0.25">
      <c r="A26" s="18">
        <f>+A27+1</f>
        <v>2010</v>
      </c>
      <c r="B26" s="283">
        <f>'CPI-W Calcs'!$I26</f>
        <v>1.22206940063092</v>
      </c>
      <c r="C26" s="45">
        <f>C$34*$B26</f>
        <v>48882.7760252366</v>
      </c>
      <c r="D26" s="279">
        <f>+TRUNC(C26/1000)*1000</f>
        <v>48000</v>
      </c>
      <c r="E26" s="284">
        <v>49000</v>
      </c>
      <c r="F26" s="283">
        <f>'CPI-W Calcs'!$I26</f>
        <v>1.22206940063092</v>
      </c>
      <c r="G26" s="45">
        <f>G$34*$B26</f>
        <v>244413.880126183</v>
      </c>
      <c r="H26" s="279">
        <f>+TRUNC(G26/5000)*5000</f>
        <v>240000</v>
      </c>
      <c r="I26" s="284">
        <v>245000</v>
      </c>
      <c r="J26" s="285">
        <f>'CPI-W Calcs'!F26</f>
        <v>1.12058831382671</v>
      </c>
      <c r="K26" s="45">
        <f>K$30*$J26</f>
        <v>16808.8247074007</v>
      </c>
      <c r="L26" s="45">
        <f>+TRUNC(K26/500)*500</f>
        <v>16500</v>
      </c>
      <c r="M26" s="193">
        <v>16500</v>
      </c>
      <c r="N26" s="44">
        <f>N$30*$J26</f>
        <v>5602.94156913355</v>
      </c>
      <c r="O26" s="45">
        <f>+TRUNC(N26/500)*500</f>
        <v>5500</v>
      </c>
      <c r="P26" s="193">
        <v>5500</v>
      </c>
    </row>
    <row r="27" ht="12.75" customHeight="1" spans="1:16" x14ac:dyDescent="0.25">
      <c r="A27" s="18">
        <f>+A28+1</f>
        <v>2009</v>
      </c>
      <c r="B27" s="283">
        <f>'CPI-W Calcs'!$I27</f>
        <v>1.20778840087357</v>
      </c>
      <c r="C27" s="45">
        <f>C$34*$B27</f>
        <v>48311.536034943</v>
      </c>
      <c r="D27" s="279">
        <f>+TRUNC(C27/1000)*1000</f>
        <v>48000</v>
      </c>
      <c r="E27" s="284">
        <v>49000</v>
      </c>
      <c r="F27" s="283">
        <f>'CPI-W Calcs'!$I27</f>
        <v>1.20778840087357</v>
      </c>
      <c r="G27" s="45">
        <f>G$34*$B27</f>
        <v>241557.680174715</v>
      </c>
      <c r="H27" s="279">
        <f>+TRUNC(G27/5000)*5000</f>
        <v>240000</v>
      </c>
      <c r="I27" s="284">
        <v>245000</v>
      </c>
      <c r="J27" s="285">
        <f>'CPI-W Calcs'!F27</f>
        <v>1.10749321347515</v>
      </c>
      <c r="K27" s="45">
        <f>K$30*$J27</f>
        <v>16612.3982021272</v>
      </c>
      <c r="L27" s="45">
        <f>+TRUNC(K27/500)*500</f>
        <v>16500</v>
      </c>
      <c r="M27" s="193">
        <v>16500</v>
      </c>
      <c r="N27" s="44">
        <f>N$30*$J27</f>
        <v>5537.46606737573</v>
      </c>
      <c r="O27" s="45">
        <f>+TRUNC(N27/500)*500</f>
        <v>5500</v>
      </c>
      <c r="P27" s="193">
        <v>5500</v>
      </c>
    </row>
    <row r="28" ht="12.75" customHeight="1" spans="1:16" x14ac:dyDescent="0.25">
      <c r="A28" s="18">
        <f>+A29+1</f>
        <v>2008</v>
      </c>
      <c r="B28" s="283">
        <f>'CPI-W Calcs'!$I28</f>
        <v>1.16215093423926</v>
      </c>
      <c r="C28" s="45">
        <f>C$34*$B28</f>
        <v>46486.0373695705</v>
      </c>
      <c r="D28" s="45">
        <f>+TRUNC(C28/1000)*1000</f>
        <v>46000</v>
      </c>
      <c r="E28" s="193">
        <v>46000</v>
      </c>
      <c r="F28" s="283">
        <f>'CPI-W Calcs'!$I28</f>
        <v>1.16215093423926</v>
      </c>
      <c r="G28" s="45">
        <f>G$34*$B28</f>
        <v>232430.186847853</v>
      </c>
      <c r="H28" s="45">
        <f>+TRUNC(G28/5000)*5000</f>
        <v>230000</v>
      </c>
      <c r="I28" s="193">
        <v>230000</v>
      </c>
      <c r="J28" s="285">
        <f>'CPI-W Calcs'!F28</f>
        <v>1.0656454986427</v>
      </c>
      <c r="K28" s="45">
        <f>K$30*$J28</f>
        <v>15984.6824796404</v>
      </c>
      <c r="L28" s="45">
        <f>+TRUNC(K28/500)*500</f>
        <v>15500</v>
      </c>
      <c r="M28" s="193">
        <v>15500</v>
      </c>
      <c r="N28" s="44">
        <f>N$30*$J28</f>
        <v>5328.22749321348</v>
      </c>
      <c r="O28" s="45">
        <f>+TRUNC(N28/500)*500</f>
        <v>5000</v>
      </c>
      <c r="P28" s="193">
        <v>5500</v>
      </c>
    </row>
    <row r="29" ht="12.75" customHeight="1" spans="1:16" x14ac:dyDescent="0.25">
      <c r="A29" s="18">
        <f>+A30+1</f>
        <v>2007</v>
      </c>
      <c r="B29" s="283">
        <f>'CPI-W Calcs'!$I29</f>
        <v>1.13404513467605</v>
      </c>
      <c r="C29" s="45">
        <f>C$34*$B29</f>
        <v>45361.805387042</v>
      </c>
      <c r="D29" s="45">
        <f>+TRUNC(C29/1000)*1000</f>
        <v>45000</v>
      </c>
      <c r="E29" s="193">
        <v>45000</v>
      </c>
      <c r="F29" s="283">
        <f>'CPI-W Calcs'!$I29</f>
        <v>1.13404513467605</v>
      </c>
      <c r="G29" s="45">
        <f>G$34*$B29</f>
        <v>226809.02693521</v>
      </c>
      <c r="H29" s="45">
        <f>+TRUNC(G29/5000)*5000</f>
        <v>225000</v>
      </c>
      <c r="I29" s="193">
        <v>225000</v>
      </c>
      <c r="J29" s="285">
        <f>'CPI-W Calcs'!F29</f>
        <v>1.0398736148814</v>
      </c>
      <c r="K29" s="45">
        <f>K$30*$J29</f>
        <v>15598.104223221</v>
      </c>
      <c r="L29" s="45">
        <f>+TRUNC(K29/500)*500</f>
        <v>15500</v>
      </c>
      <c r="M29" s="193">
        <v>15500</v>
      </c>
      <c r="N29" s="44">
        <f>N$30*$J29</f>
        <v>5199.36807440701</v>
      </c>
      <c r="O29" s="45">
        <f>+TRUNC(N29/500)*500</f>
        <v>5000</v>
      </c>
      <c r="P29" s="193">
        <v>5500</v>
      </c>
    </row>
    <row r="30" ht="12.75" customHeight="1" spans="1:16" x14ac:dyDescent="0.25">
      <c r="A30" s="18">
        <f>+A31+1</f>
        <v>2006</v>
      </c>
      <c r="B30" s="283">
        <f>'CPI-W Calcs'!$I30</f>
        <v>1.09056054355739</v>
      </c>
      <c r="C30" s="45">
        <f>C$34*$B30</f>
        <v>43622.4217422956</v>
      </c>
      <c r="D30" s="279">
        <f>+TRUNC(C30/1000)*1000</f>
        <v>43000</v>
      </c>
      <c r="E30" s="284">
        <v>44000</v>
      </c>
      <c r="F30" s="283">
        <f>'CPI-W Calcs'!$I30</f>
        <v>1.09056054355739</v>
      </c>
      <c r="G30" s="45">
        <f>G$34*$B30</f>
        <v>218112.108711478</v>
      </c>
      <c r="H30" s="279">
        <f>+TRUNC(G30/5000)*5000</f>
        <v>215000</v>
      </c>
      <c r="I30" s="284">
        <v>220000</v>
      </c>
      <c r="J30" s="286">
        <f>'CPI-W Calcs'!$I30</f>
        <v>1.09056054355739</v>
      </c>
      <c r="K30" s="88">
        <v>15000</v>
      </c>
      <c r="L30" s="89">
        <f>+TRUNC(K30/500)*500</f>
        <v>15000</v>
      </c>
      <c r="M30" s="191"/>
      <c r="N30" s="87">
        <v>5000</v>
      </c>
      <c r="O30" s="89">
        <f>+TRUNC(N30/500)*500</f>
        <v>5000</v>
      </c>
      <c r="P30" s="191"/>
    </row>
    <row r="31" ht="12.75" customHeight="1" spans="1:9" x14ac:dyDescent="0.25">
      <c r="A31" s="18">
        <f>+A32+1</f>
        <v>2005</v>
      </c>
      <c r="B31" s="283">
        <f>'CPI-W Calcs'!$I31</f>
        <v>1.0584324193157</v>
      </c>
      <c r="C31" s="45">
        <f>C$34*$B31</f>
        <v>42337.296772628</v>
      </c>
      <c r="D31" s="45">
        <f>+TRUNC(C31/1000)*1000</f>
        <v>42000</v>
      </c>
      <c r="E31" s="193">
        <v>42000</v>
      </c>
      <c r="F31" s="283">
        <f>'CPI-W Calcs'!$I31</f>
        <v>1.0584324193157</v>
      </c>
      <c r="G31" s="45">
        <f>G$34*$B31</f>
        <v>211686.48386314</v>
      </c>
      <c r="H31" s="45">
        <f>+TRUNC(G31/5000)*5000</f>
        <v>210000</v>
      </c>
      <c r="I31" s="193">
        <v>210000</v>
      </c>
    </row>
    <row r="32" ht="12.75" customHeight="1" spans="1:9" x14ac:dyDescent="0.25">
      <c r="A32" s="18">
        <f>+A33+1</f>
        <v>2004</v>
      </c>
      <c r="B32" s="283">
        <f>'CPI-W Calcs'!$I32</f>
        <v>1.03732103858287</v>
      </c>
      <c r="C32" s="45">
        <f>C$34*$B32</f>
        <v>41492.8415433147</v>
      </c>
      <c r="D32" s="45">
        <f>+TRUNC(C32/1000)*1000</f>
        <v>41000</v>
      </c>
      <c r="E32" s="193">
        <v>41000</v>
      </c>
      <c r="F32" s="283">
        <f>'CPI-W Calcs'!$I32</f>
        <v>1.03732103858287</v>
      </c>
      <c r="G32" s="45">
        <f>G$34*$B32</f>
        <v>207464.207716574</v>
      </c>
      <c r="H32" s="45">
        <f>+TRUNC(G32/5000)*5000</f>
        <v>205000</v>
      </c>
      <c r="I32" s="193">
        <v>205000</v>
      </c>
    </row>
    <row r="33" ht="12.75" customHeight="1" spans="1:9" x14ac:dyDescent="0.25">
      <c r="A33" s="18">
        <f>+A34+1</f>
        <v>2003</v>
      </c>
      <c r="B33" s="283">
        <f>'CPI-W Calcs'!$I33</f>
        <v>1.01533608347488</v>
      </c>
      <c r="C33" s="45">
        <f>C$34*$B33</f>
        <v>40613.4433389954</v>
      </c>
      <c r="D33" s="45">
        <f>+TRUNC(C33/1000)*1000</f>
        <v>40000</v>
      </c>
      <c r="E33" s="193">
        <v>40000</v>
      </c>
      <c r="F33" s="283">
        <f>'CPI-W Calcs'!$I33</f>
        <v>1.01533608347488</v>
      </c>
      <c r="G33" s="45">
        <f>G$34*$B33</f>
        <v>203067.216694977</v>
      </c>
      <c r="H33" s="45">
        <f>+TRUNC(G33/5000)*5000</f>
        <v>200000</v>
      </c>
      <c r="I33" s="193">
        <v>200000</v>
      </c>
    </row>
    <row r="34" ht="12.75" customHeight="1" spans="1:9" x14ac:dyDescent="0.25">
      <c r="A34" s="18">
        <v>2002</v>
      </c>
      <c r="B34" s="287">
        <f>'CPI-W Calcs'!$I34</f>
        <v>1</v>
      </c>
      <c r="C34" s="88">
        <v>40000</v>
      </c>
      <c r="D34" s="89">
        <f>+TRUNC(C34/1000)*1000</f>
        <v>40000</v>
      </c>
      <c r="E34" s="191"/>
      <c r="F34" s="287">
        <f>'CPI-W Calcs'!$I34</f>
        <v>1</v>
      </c>
      <c r="G34" s="88">
        <v>200000</v>
      </c>
      <c r="H34" s="89">
        <f>+TRUNC(G34/5000)*5000</f>
        <v>200000</v>
      </c>
      <c r="I34" s="89"/>
    </row>
    <row r="35" ht="12.75" customHeight="1" spans="1:5" x14ac:dyDescent="0.25">
      <c r="A35" s="34" t="s">
        <v>413</v>
      </c>
      <c r="B35" s="288"/>
      <c r="C35" s="88"/>
      <c r="D35" s="89"/>
      <c r="E35" s="89"/>
    </row>
    <row r="36" ht="12.75" customHeight="1" spans="1:5" x14ac:dyDescent="0.25">
      <c r="A36" s="34" t="s">
        <v>414</v>
      </c>
      <c r="B36" s="53"/>
      <c r="C36" s="45"/>
      <c r="D36" s="45"/>
      <c r="E36" s="45"/>
    </row>
    <row r="37" ht="12.75" customHeight="1" spans="1:1" x14ac:dyDescent="0.25">
      <c r="A37" s="34" t="s">
        <v>415</v>
      </c>
    </row>
    <row r="38" ht="12.75" customHeight="1" spans="1:1" x14ac:dyDescent="0.25">
      <c r="A38" s="34" t="s">
        <v>416</v>
      </c>
    </row>
    <row r="39" ht="12.75" customHeight="1" spans="1:1" x14ac:dyDescent="0.25">
      <c r="A39" s="34" t="s">
        <v>417</v>
      </c>
    </row>
    <row r="40" ht="12.75" customHeight="1" spans="1:1" x14ac:dyDescent="0.25">
      <c r="A40" s="34"/>
    </row>
    <row r="41" ht="15.75" customHeight="1" spans="1:7" x14ac:dyDescent="0.25">
      <c r="A41" s="181" t="s">
        <v>418</v>
      </c>
      <c r="B41" s="89"/>
      <c r="C41" s="89"/>
      <c r="D41" s="89"/>
      <c r="E41" s="89"/>
      <c r="F41" s="90"/>
      <c r="G41" s="90"/>
    </row>
    <row r="42" ht="27.75" customHeight="1" spans="1:9" x14ac:dyDescent="0.25">
      <c r="A42" s="55" t="s">
        <v>6</v>
      </c>
      <c r="B42" s="182" t="s">
        <v>185</v>
      </c>
      <c r="C42" s="207" t="s">
        <v>312</v>
      </c>
      <c r="D42" s="207" t="s">
        <v>313</v>
      </c>
      <c r="E42" s="207" t="s">
        <v>314</v>
      </c>
      <c r="F42" s="274" t="s">
        <v>185</v>
      </c>
      <c r="G42" s="207" t="s">
        <v>315</v>
      </c>
      <c r="H42" s="207" t="s">
        <v>316</v>
      </c>
      <c r="I42" s="207" t="s">
        <v>317</v>
      </c>
    </row>
    <row r="43" ht="12.75" customHeight="1" spans="1:9" x14ac:dyDescent="0.25">
      <c r="A43" s="27">
        <f>A44+1</f>
        <v>2022</v>
      </c>
      <c r="B43" s="185">
        <f>'CPI-W Calcs'!$G14</f>
        <v>1.42031752946031</v>
      </c>
      <c r="C43" s="42">
        <f>C$60*$B43</f>
        <v>14203.1752946031</v>
      </c>
      <c r="D43" s="42">
        <f>+TRUNC(C43/500)*500</f>
        <v>14000</v>
      </c>
      <c r="E43" s="186">
        <v>15000</v>
      </c>
      <c r="F43" s="185">
        <f>'CPI-W Calcs'!$G14</f>
        <v>1.42031752946031</v>
      </c>
      <c r="G43" s="42">
        <f>G$59*$F43</f>
        <v>3550.79382365079</v>
      </c>
      <c r="H43" s="42">
        <f>+TRUNC(G43/500)*500</f>
        <v>3500</v>
      </c>
      <c r="I43" s="186">
        <v>3000</v>
      </c>
    </row>
    <row r="44" ht="12.75" customHeight="1" spans="1:9" x14ac:dyDescent="0.25">
      <c r="A44" s="27">
        <f>A45+1</f>
        <v>2021</v>
      </c>
      <c r="B44" s="190">
        <f>'CPI-W Calcs'!$G15</f>
        <v>1.37894905772846</v>
      </c>
      <c r="C44" s="45">
        <f>C$60*$B44</f>
        <v>13789.4905772846</v>
      </c>
      <c r="D44" s="45">
        <f>+TRUNC(C44/500)*500</f>
        <v>13500</v>
      </c>
      <c r="E44" s="191">
        <v>13500</v>
      </c>
      <c r="F44" s="190">
        <f>'CPI-W Calcs'!$G15</f>
        <v>1.37894905772846</v>
      </c>
      <c r="G44" s="45">
        <f>G$59*$F44</f>
        <v>3447.37264432115</v>
      </c>
      <c r="H44" s="45">
        <f>+TRUNC(G44/500)*500</f>
        <v>3000</v>
      </c>
      <c r="I44" s="191">
        <v>3000</v>
      </c>
    </row>
    <row r="45" ht="12.75" customHeight="1" spans="1:9" x14ac:dyDescent="0.25">
      <c r="A45" s="18">
        <f>A46+1</f>
        <v>2020</v>
      </c>
      <c r="B45" s="190">
        <f>'CPI-W Calcs'!$G16</f>
        <v>1.35947636296942</v>
      </c>
      <c r="C45" s="45">
        <f>C$60*$B45</f>
        <v>13594.7636296942</v>
      </c>
      <c r="D45" s="45">
        <f>+TRUNC(C45/500)*500</f>
        <v>13500</v>
      </c>
      <c r="E45" s="193">
        <v>13500</v>
      </c>
      <c r="F45" s="190">
        <f>'CPI-W Calcs'!$G16</f>
        <v>1.35947636296942</v>
      </c>
      <c r="G45" s="45">
        <f>G$59*$F45</f>
        <v>3398.69090742354</v>
      </c>
      <c r="H45" s="45">
        <f>+TRUNC(G45/500)*500</f>
        <v>3000</v>
      </c>
      <c r="I45" s="193">
        <v>3000</v>
      </c>
    </row>
    <row r="46" ht="12.75" customHeight="1" spans="1:9" x14ac:dyDescent="0.25">
      <c r="A46" s="18">
        <f>A47+1</f>
        <v>2019</v>
      </c>
      <c r="B46" s="190">
        <f>'CPI-W Calcs'!$G17</f>
        <v>1.33234536200651</v>
      </c>
      <c r="C46" s="45">
        <f>C$60*$B46</f>
        <v>13323.4536200651</v>
      </c>
      <c r="D46" s="45">
        <f>+TRUNC(C46/500)*500</f>
        <v>13000</v>
      </c>
      <c r="E46" s="193">
        <v>13000</v>
      </c>
      <c r="F46" s="190">
        <f>'CPI-W Calcs'!$G17</f>
        <v>1.33234536200651</v>
      </c>
      <c r="G46" s="45">
        <f>G$59*$F46</f>
        <v>3330.86340501628</v>
      </c>
      <c r="H46" s="45">
        <f>+TRUNC(G46/500)*500</f>
        <v>3000</v>
      </c>
      <c r="I46" s="193">
        <v>3000</v>
      </c>
    </row>
    <row r="47" ht="12.75" customHeight="1" spans="1:9" x14ac:dyDescent="0.25">
      <c r="A47" s="18">
        <f>A48+1</f>
        <v>2018</v>
      </c>
      <c r="B47" s="283">
        <f>'CPI-W Calcs'!$G18</f>
        <v>1.30191572286671</v>
      </c>
      <c r="C47" s="45">
        <f>C$60*$B47</f>
        <v>13019.1572286671</v>
      </c>
      <c r="D47" s="45">
        <f>+TRUNC(C47/500)*500</f>
        <v>13000</v>
      </c>
      <c r="E47" s="193">
        <v>12500</v>
      </c>
      <c r="F47" s="283">
        <f>'CPI-W Calcs'!$G18</f>
        <v>1.30191572286671</v>
      </c>
      <c r="G47" s="45">
        <f>G$59*$F47</f>
        <v>3254.78930716677</v>
      </c>
      <c r="H47" s="45">
        <f>+TRUNC(G47/500)*500</f>
        <v>3000</v>
      </c>
      <c r="I47" s="193">
        <v>3000</v>
      </c>
    </row>
    <row r="48" ht="12.75" customHeight="1" spans="1:9" x14ac:dyDescent="0.25">
      <c r="A48" s="18">
        <f>A49+1</f>
        <v>2017</v>
      </c>
      <c r="B48" s="283">
        <f>'CPI-W Calcs'!$G19</f>
        <v>1.28026181851529</v>
      </c>
      <c r="C48" s="45">
        <f>C$60*$B48</f>
        <v>12802.6181851529</v>
      </c>
      <c r="D48" s="45">
        <f>+TRUNC(C48/500)*500</f>
        <v>12500</v>
      </c>
      <c r="E48" s="193">
        <v>12500</v>
      </c>
      <c r="F48" s="283">
        <f>'CPI-W Calcs'!$G19</f>
        <v>1.28026181851529</v>
      </c>
      <c r="G48" s="45">
        <f>G$59*$F48</f>
        <v>3200.65454628823</v>
      </c>
      <c r="H48" s="45">
        <f>+TRUNC(G48/500)*500</f>
        <v>3000</v>
      </c>
      <c r="I48" s="193">
        <v>3000</v>
      </c>
    </row>
    <row r="49" ht="12.75" customHeight="1" spans="1:14" x14ac:dyDescent="0.25">
      <c r="A49" s="18">
        <f>A50+1</f>
        <v>2016</v>
      </c>
      <c r="B49" s="283">
        <f>'CPI-W Calcs'!$G20</f>
        <v>1.2767279563483</v>
      </c>
      <c r="C49" s="45">
        <f>C$60*$B49</f>
        <v>12767.279563483</v>
      </c>
      <c r="D49" s="45">
        <f>+TRUNC(C49/500)*500</f>
        <v>12500</v>
      </c>
      <c r="E49" s="193">
        <v>12500</v>
      </c>
      <c r="F49" s="283">
        <f>'CPI-W Calcs'!$G20</f>
        <v>1.2767279563483</v>
      </c>
      <c r="G49" s="45">
        <f>G$59*$F49</f>
        <v>3191.81989087074</v>
      </c>
      <c r="H49" s="45">
        <f>+TRUNC(G49/500)*500</f>
        <v>3000</v>
      </c>
      <c r="I49" s="193">
        <v>3000</v>
      </c>
      <c r="M49" s="212"/>
      <c r="N49" s="212"/>
    </row>
    <row r="50" ht="12.75" customHeight="1" spans="1:10" x14ac:dyDescent="0.25">
      <c r="A50" s="18">
        <f>A51+1</f>
        <v>2015</v>
      </c>
      <c r="B50" s="283">
        <f>'CPI-W Calcs'!$G21</f>
        <v>1.27234352790133</v>
      </c>
      <c r="C50" s="45">
        <f>C$60*$B50</f>
        <v>12723.4352790133</v>
      </c>
      <c r="D50" s="45">
        <f>+TRUNC(C50/500)*500</f>
        <v>12500</v>
      </c>
      <c r="E50" s="193">
        <v>12500</v>
      </c>
      <c r="F50" s="283">
        <f>'CPI-W Calcs'!$G21</f>
        <v>1.27234352790133</v>
      </c>
      <c r="G50" s="45">
        <f>G$59*$F50</f>
        <v>3180.85881975331</v>
      </c>
      <c r="H50" s="45">
        <f>+TRUNC(G50/500)*500</f>
        <v>3000</v>
      </c>
      <c r="I50" s="193">
        <v>3000</v>
      </c>
      <c r="J50" s="16" t="s">
        <v>419</v>
      </c>
    </row>
    <row r="51" ht="12.75" customHeight="1" spans="1:12" x14ac:dyDescent="0.25">
      <c r="A51" s="18">
        <f>A52+1</f>
        <v>2014</v>
      </c>
      <c r="B51" s="283">
        <f>'CPI-W Calcs'!$G22</f>
        <v>1.25367325416113</v>
      </c>
      <c r="C51" s="45">
        <f>C$60*$B51</f>
        <v>12536.7325416113</v>
      </c>
      <c r="D51" s="45">
        <f>+TRUNC(C51/500)*500</f>
        <v>12500</v>
      </c>
      <c r="E51" s="193">
        <v>12000</v>
      </c>
      <c r="F51" s="283">
        <f>'CPI-W Calcs'!$G22</f>
        <v>1.25367325416113</v>
      </c>
      <c r="G51" s="45">
        <f>G$59*$F51</f>
        <v>3134.18313540282</v>
      </c>
      <c r="H51" s="279">
        <f>+TRUNC(G51/500)*500</f>
        <v>3000</v>
      </c>
      <c r="I51" s="284">
        <v>2500</v>
      </c>
      <c r="J51" s="212"/>
      <c r="K51" s="212"/>
      <c r="L51" s="212"/>
    </row>
    <row r="52" ht="12.75" customHeight="1" spans="1:9" x14ac:dyDescent="0.25">
      <c r="A52" s="18">
        <f>A53+1</f>
        <v>2013</v>
      </c>
      <c r="B52" s="283">
        <f>'CPI-W Calcs'!$G23</f>
        <v>1.2339891787794</v>
      </c>
      <c r="C52" s="45">
        <f>C$60*$B52</f>
        <v>12339.891787794</v>
      </c>
      <c r="D52" s="45">
        <f>+TRUNC(C52/500)*500</f>
        <v>12000</v>
      </c>
      <c r="E52" s="193">
        <v>12000</v>
      </c>
      <c r="F52" s="283">
        <f>'CPI-W Calcs'!$G23</f>
        <v>1.2339891787794</v>
      </c>
      <c r="G52" s="45">
        <f>G$59*$F52</f>
        <v>3084.97294694851</v>
      </c>
      <c r="H52" s="279">
        <f>+TRUNC(G52/500)*500</f>
        <v>3000</v>
      </c>
      <c r="I52" s="284">
        <v>2500</v>
      </c>
    </row>
    <row r="53" ht="12.75" customHeight="1" spans="1:9" x14ac:dyDescent="0.25">
      <c r="A53" s="18">
        <f>A54+1</f>
        <v>2012</v>
      </c>
      <c r="B53" s="283">
        <f>'CPI-W Calcs'!$G24</f>
        <v>1.19593837406575</v>
      </c>
      <c r="C53" s="45">
        <f>C$60*$B53</f>
        <v>11959.3837406575</v>
      </c>
      <c r="D53" s="45">
        <f>+TRUNC(C53/500)*500</f>
        <v>11500</v>
      </c>
      <c r="E53" s="193">
        <v>11500</v>
      </c>
      <c r="F53" s="283">
        <f>'CPI-W Calcs'!$G24</f>
        <v>1.19593837406575</v>
      </c>
      <c r="G53" s="45">
        <f>G$59*$F53</f>
        <v>2989.84593516438</v>
      </c>
      <c r="H53" s="45">
        <f>+TRUNC(G53/500)*500</f>
        <v>2500</v>
      </c>
      <c r="I53" s="193">
        <v>2500</v>
      </c>
    </row>
    <row r="54" ht="12.75" customHeight="1" spans="1:9" x14ac:dyDescent="0.25">
      <c r="A54" s="18">
        <f>A55+1</f>
        <v>2011</v>
      </c>
      <c r="B54" s="283">
        <f>'CPI-W Calcs'!$G25</f>
        <v>1.16869961942317</v>
      </c>
      <c r="C54" s="45">
        <f>C$60*$B54</f>
        <v>11686.9961942317</v>
      </c>
      <c r="D54" s="45">
        <f>+TRUNC(C54/500)*500</f>
        <v>11500</v>
      </c>
      <c r="E54" s="193">
        <v>11500</v>
      </c>
      <c r="F54" s="283">
        <f>'CPI-W Calcs'!$G25</f>
        <v>1.16869961942317</v>
      </c>
      <c r="G54" s="45">
        <f>G$59*$F54</f>
        <v>2921.74904855794</v>
      </c>
      <c r="H54" s="45">
        <f>+TRUNC(G54/500)*500</f>
        <v>2500</v>
      </c>
      <c r="I54" s="193">
        <v>2500</v>
      </c>
    </row>
    <row r="55" ht="12.75" customHeight="1" spans="1:9" x14ac:dyDescent="0.25">
      <c r="A55" s="18">
        <f>A56+1</f>
        <v>2010</v>
      </c>
      <c r="B55" s="283">
        <f>'CPI-W Calcs'!$G26</f>
        <v>1.15460314549039</v>
      </c>
      <c r="C55" s="45">
        <f>C$60*$B55</f>
        <v>11546.0314549039</v>
      </c>
      <c r="D55" s="45">
        <f>+TRUNC(C55/500)*500</f>
        <v>11500</v>
      </c>
      <c r="E55" s="193">
        <v>11500</v>
      </c>
      <c r="F55" s="283">
        <f>'CPI-W Calcs'!$G26</f>
        <v>1.15460314549039</v>
      </c>
      <c r="G55" s="45">
        <f>G$59*$F55</f>
        <v>2886.50786372599</v>
      </c>
      <c r="H55" s="45">
        <f>+TRUNC(G55/500)*500</f>
        <v>2500</v>
      </c>
      <c r="I55" s="193">
        <v>2500</v>
      </c>
    </row>
    <row r="56" ht="12.75" customHeight="1" spans="1:9" x14ac:dyDescent="0.25">
      <c r="A56" s="18">
        <f>A57+1</f>
        <v>2009</v>
      </c>
      <c r="B56" s="283">
        <f>'CPI-W Calcs'!$G27</f>
        <v>1.14111055069008</v>
      </c>
      <c r="C56" s="45">
        <f>C$60*$B56</f>
        <v>11411.1055069008</v>
      </c>
      <c r="D56" s="279">
        <f>+TRUNC(C56/500)*500</f>
        <v>11000</v>
      </c>
      <c r="E56" s="284">
        <v>11500</v>
      </c>
      <c r="F56" s="283">
        <f>'CPI-W Calcs'!$G27</f>
        <v>1.14111055069008</v>
      </c>
      <c r="G56" s="45">
        <f>G$59*$F56</f>
        <v>2852.77637672521</v>
      </c>
      <c r="H56" s="45">
        <f>+TRUNC(G56/500)*500</f>
        <v>2500</v>
      </c>
      <c r="I56" s="193">
        <v>2500</v>
      </c>
    </row>
    <row r="57" ht="12.75" customHeight="1" spans="1:9" x14ac:dyDescent="0.25">
      <c r="A57" s="18">
        <f>A58+1</f>
        <v>2008</v>
      </c>
      <c r="B57" s="283">
        <f>'CPI-W Calcs'!$G28</f>
        <v>1.097992571874</v>
      </c>
      <c r="C57" s="45">
        <f>C$60*$B57</f>
        <v>10979.92571874</v>
      </c>
      <c r="D57" s="45">
        <f>+TRUNC(C57/500)*500</f>
        <v>10500</v>
      </c>
      <c r="E57" s="193">
        <v>10500</v>
      </c>
      <c r="F57" s="283">
        <f>'CPI-W Calcs'!$G28</f>
        <v>1.097992571874</v>
      </c>
      <c r="G57" s="45">
        <f>G$59*$F57</f>
        <v>2744.98142968499</v>
      </c>
      <c r="H57" s="45">
        <f>+TRUNC(G57/500)*500</f>
        <v>2500</v>
      </c>
      <c r="I57" s="193">
        <v>2500</v>
      </c>
    </row>
    <row r="58" ht="12.75" customHeight="1" spans="1:9" x14ac:dyDescent="0.25">
      <c r="A58" s="18">
        <f>A59+1</f>
        <v>2007</v>
      </c>
      <c r="B58" s="283">
        <f>'CPI-W Calcs'!$G29</f>
        <v>1.07143839699207</v>
      </c>
      <c r="C58" s="45">
        <f>C$60*$B58</f>
        <v>10714.3839699207</v>
      </c>
      <c r="D58" s="45">
        <f>+TRUNC(C58/500)*500</f>
        <v>10500</v>
      </c>
      <c r="E58" s="193">
        <v>10500</v>
      </c>
      <c r="F58" s="283">
        <f>'CPI-W Calcs'!$G29</f>
        <v>1.07143839699207</v>
      </c>
      <c r="G58" s="45">
        <f>G$59*$F58</f>
        <v>2678.59599248017</v>
      </c>
      <c r="H58" s="45">
        <f>+TRUNC(G58/500)*500</f>
        <v>2500</v>
      </c>
      <c r="I58" s="193">
        <v>2500</v>
      </c>
    </row>
    <row r="59" ht="12.75" customHeight="1" spans="1:9" x14ac:dyDescent="0.25">
      <c r="A59" s="18">
        <f>A60+1</f>
        <v>2006</v>
      </c>
      <c r="B59" s="283">
        <f>'CPI-W Calcs'!$G30</f>
        <v>1.03035444082718</v>
      </c>
      <c r="C59" s="45">
        <f>C$60*$B59</f>
        <v>10303.5444082718</v>
      </c>
      <c r="D59" s="45">
        <f>+TRUNC(C59/500)*500</f>
        <v>10000</v>
      </c>
      <c r="E59" s="193">
        <v>10000</v>
      </c>
      <c r="F59" s="283">
        <f>'CPI-W Calcs'!$G30</f>
        <v>1.03035444082718</v>
      </c>
      <c r="G59" s="88">
        <v>2500</v>
      </c>
      <c r="H59" s="89">
        <f>+G59</f>
        <v>2500</v>
      </c>
      <c r="I59" s="209"/>
    </row>
    <row r="60" ht="12.75" customHeight="1" spans="1:9" x14ac:dyDescent="0.25">
      <c r="A60" s="18">
        <f>A61+1</f>
        <v>2005</v>
      </c>
      <c r="B60" s="287">
        <f>'CPI-W Calcs'!$G$31</f>
        <v>1</v>
      </c>
      <c r="C60" s="88">
        <v>10000</v>
      </c>
      <c r="D60" s="89">
        <f>+TRUNC(C60/500)*500</f>
        <v>10000</v>
      </c>
      <c r="E60" s="209"/>
      <c r="F60" s="287">
        <f>'CPI-W Calcs'!$G$31</f>
        <v>1</v>
      </c>
      <c r="G60" s="89">
        <v>2000</v>
      </c>
      <c r="H60" s="89">
        <f>+G60</f>
        <v>2000</v>
      </c>
      <c r="I60" s="209"/>
    </row>
    <row r="61" ht="12.75" customHeight="1" spans="1:9" x14ac:dyDescent="0.25">
      <c r="A61" s="18">
        <f>A62+1</f>
        <v>2004</v>
      </c>
      <c r="B61" s="287">
        <f>'CPI-W Calcs'!$G$31</f>
        <v>1</v>
      </c>
      <c r="C61" s="89">
        <v>9000</v>
      </c>
      <c r="D61" s="89">
        <f>+TRUNC(C61/500)*500</f>
        <v>9000</v>
      </c>
      <c r="E61" s="209"/>
      <c r="F61" s="287">
        <f>'CPI-W Calcs'!$G$31</f>
        <v>1</v>
      </c>
      <c r="G61" s="89">
        <v>1500</v>
      </c>
      <c r="H61" s="89">
        <f>+G61</f>
        <v>1500</v>
      </c>
      <c r="I61" s="209"/>
    </row>
    <row r="62" ht="12.75" customHeight="1" spans="1:9" x14ac:dyDescent="0.25">
      <c r="A62" s="18">
        <f>A63+1</f>
        <v>2003</v>
      </c>
      <c r="B62" s="287">
        <f>'CPI-W Calcs'!$G$31</f>
        <v>1</v>
      </c>
      <c r="C62" s="89">
        <v>8000</v>
      </c>
      <c r="D62" s="89">
        <f>+TRUNC(C62/500)*500</f>
        <v>8000</v>
      </c>
      <c r="E62" s="209"/>
      <c r="F62" s="287">
        <f>'CPI-W Calcs'!$G$31</f>
        <v>1</v>
      </c>
      <c r="G62" s="89">
        <v>1000</v>
      </c>
      <c r="H62" s="89">
        <f>+G62</f>
        <v>1000</v>
      </c>
      <c r="I62" s="209"/>
    </row>
    <row r="63" ht="12.75" customHeight="1" spans="1:9" x14ac:dyDescent="0.25">
      <c r="A63" s="18">
        <v>2002</v>
      </c>
      <c r="B63" s="287">
        <f>'CPI-W Calcs'!$G$31</f>
        <v>1</v>
      </c>
      <c r="C63" s="89">
        <v>7000</v>
      </c>
      <c r="D63" s="89">
        <f>+TRUNC(C63/500)*500</f>
        <v>7000</v>
      </c>
      <c r="E63" s="209"/>
      <c r="F63" s="287">
        <f>'CPI-W Calcs'!$G$31</f>
        <v>1</v>
      </c>
      <c r="G63" s="89">
        <v>500</v>
      </c>
      <c r="H63" s="89">
        <f>+G63</f>
        <v>500</v>
      </c>
      <c r="I63" s="209"/>
    </row>
    <row r="64" ht="12.75" customHeight="1" spans="1:7" x14ac:dyDescent="0.25">
      <c r="A64" s="34" t="s">
        <v>420</v>
      </c>
      <c r="B64" s="79"/>
      <c r="C64" s="45"/>
      <c r="D64" s="45"/>
      <c r="E64" s="45"/>
      <c r="F64" s="45"/>
      <c r="G64" s="45"/>
    </row>
    <row r="65" ht="12.75" customHeight="1" spans="1:7" x14ac:dyDescent="0.25">
      <c r="A65" s="34" t="s">
        <v>421</v>
      </c>
      <c r="B65" s="79"/>
      <c r="C65" s="45"/>
      <c r="D65" s="45"/>
      <c r="E65" s="45"/>
      <c r="F65" s="45"/>
      <c r="G65" s="45"/>
    </row>
    <row r="66" ht="12.75" customHeight="1" spans="1:7" x14ac:dyDescent="0.25">
      <c r="A66" s="34" t="s">
        <v>417</v>
      </c>
      <c r="B66" s="79"/>
      <c r="C66" s="45"/>
      <c r="D66" s="45"/>
      <c r="E66" s="45"/>
      <c r="F66" s="45"/>
      <c r="G66" s="45"/>
    </row>
    <row r="67" ht="12.75" customHeight="1" spans="1:1" x14ac:dyDescent="0.25">
      <c r="A67" s="34"/>
    </row>
    <row r="68" ht="13.5" customHeight="1" spans="1:1" x14ac:dyDescent="0.25">
      <c r="A68" s="289" t="s">
        <v>422</v>
      </c>
    </row>
    <row r="69" ht="12.75" customHeight="1" spans="1:2" x14ac:dyDescent="0.25">
      <c r="A69" s="20" t="s">
        <v>423</v>
      </c>
      <c r="B69" s="16">
        <v>50</v>
      </c>
    </row>
    <row r="72" ht="13.5" customHeight="1" spans="1:1" x14ac:dyDescent="0.25">
      <c r="A72" s="289" t="s">
        <v>424</v>
      </c>
    </row>
    <row r="73" ht="12.75" customHeight="1" spans="1:2" x14ac:dyDescent="0.25">
      <c r="A73" s="20" t="s">
        <v>425</v>
      </c>
      <c r="B73" s="20" t="s">
        <v>426</v>
      </c>
    </row>
    <row r="74" ht="12.75" customHeight="1" spans="1:2" x14ac:dyDescent="0.25">
      <c r="A74" s="16" t="s">
        <v>427</v>
      </c>
      <c r="B74" s="290">
        <v>1</v>
      </c>
    </row>
    <row r="75" ht="12.75" customHeight="1" spans="1:2" x14ac:dyDescent="0.25">
      <c r="A75" s="16" t="s">
        <v>428</v>
      </c>
      <c r="B75" s="290">
        <v>1</v>
      </c>
    </row>
    <row r="76" ht="12.75" customHeight="1" spans="1:2" x14ac:dyDescent="0.25">
      <c r="A76" s="16" t="s">
        <v>429</v>
      </c>
      <c r="B76" s="290">
        <v>0.25</v>
      </c>
    </row>
    <row r="77" ht="12.75" customHeight="1" spans="1:2" x14ac:dyDescent="0.25">
      <c r="A77" s="16" t="s">
        <v>430</v>
      </c>
      <c r="B77" s="290">
        <v>0.25</v>
      </c>
    </row>
    <row r="78" ht="12.75" customHeight="1" spans="1:2" x14ac:dyDescent="0.25">
      <c r="A78" s="16" t="s">
        <v>431</v>
      </c>
      <c r="B78" s="290">
        <v>1</v>
      </c>
    </row>
    <row r="79" ht="12.75" customHeight="1" spans="1:2" x14ac:dyDescent="0.25">
      <c r="A79" s="16" t="s">
        <v>432</v>
      </c>
      <c r="B79" s="291">
        <v>1</v>
      </c>
    </row>
    <row r="82" ht="15.75" customHeight="1" spans="1:7" x14ac:dyDescent="0.25">
      <c r="A82" s="181" t="s">
        <v>433</v>
      </c>
      <c r="B82" s="89"/>
      <c r="C82" s="89"/>
      <c r="D82" s="89"/>
      <c r="E82" s="89"/>
      <c r="F82" s="90"/>
      <c r="G82" s="90"/>
    </row>
    <row r="83" ht="27.75" customHeight="1" spans="1:6" x14ac:dyDescent="0.25">
      <c r="A83" s="55" t="s">
        <v>6</v>
      </c>
      <c r="B83" s="207" t="s">
        <v>434</v>
      </c>
      <c r="C83" s="273" t="s">
        <v>313</v>
      </c>
      <c r="D83" s="207" t="s">
        <v>435</v>
      </c>
      <c r="E83" s="273" t="s">
        <v>436</v>
      </c>
      <c r="F83" s="207" t="s">
        <v>315</v>
      </c>
    </row>
    <row r="84" ht="12.75" customHeight="1" spans="1:6" x14ac:dyDescent="0.25">
      <c r="A84" s="27">
        <f>A85+1</f>
        <v>2022</v>
      </c>
      <c r="B84" s="42">
        <v>3975</v>
      </c>
      <c r="C84" s="186">
        <f>+TRUNC(B84/50)*50</f>
        <v>3950</v>
      </c>
      <c r="D84" s="42">
        <v>7975</v>
      </c>
      <c r="E84" s="186">
        <f>+TRUNC(D84/50)*50</f>
        <v>7950</v>
      </c>
      <c r="F84" s="41">
        <v>1000</v>
      </c>
    </row>
    <row r="85" ht="12.75" customHeight="1" spans="1:6" x14ac:dyDescent="0.25">
      <c r="A85" s="18">
        <f>A86+1</f>
        <v>2021</v>
      </c>
      <c r="B85" s="45">
        <v>3625</v>
      </c>
      <c r="C85" s="191">
        <f>+TRUNC(B85/50)*50</f>
        <v>3600</v>
      </c>
      <c r="D85" s="45">
        <v>7225</v>
      </c>
      <c r="E85" s="191">
        <f>+TRUNC(D85/50)*50</f>
        <v>7200</v>
      </c>
      <c r="F85" s="44">
        <v>1000</v>
      </c>
    </row>
    <row r="86" ht="12.75" customHeight="1" spans="1:6" x14ac:dyDescent="0.25">
      <c r="A86" s="18">
        <f>A87+1</f>
        <v>2020</v>
      </c>
      <c r="B86" s="45">
        <v>3575</v>
      </c>
      <c r="C86" s="191">
        <f>+TRUNC(B86/50)*50</f>
        <v>3550</v>
      </c>
      <c r="D86" s="45">
        <v>7125</v>
      </c>
      <c r="E86" s="191">
        <f>+TRUNC(D86/50)*50</f>
        <v>7100</v>
      </c>
      <c r="F86" s="44">
        <v>1000</v>
      </c>
    </row>
    <row r="87" ht="12.75" customHeight="1" spans="1:6" x14ac:dyDescent="0.25">
      <c r="A87" s="18">
        <f>A88+1</f>
        <v>2019</v>
      </c>
      <c r="B87" s="45">
        <v>3525</v>
      </c>
      <c r="C87" s="191">
        <f>+TRUNC(B87/50)*50</f>
        <v>3500</v>
      </c>
      <c r="D87" s="45">
        <v>7025</v>
      </c>
      <c r="E87" s="191">
        <f>+TRUNC(D87/50)*50</f>
        <v>7000</v>
      </c>
      <c r="F87" s="44">
        <v>1000</v>
      </c>
    </row>
    <row r="88" ht="12.75" customHeight="1" spans="1:6" x14ac:dyDescent="0.25">
      <c r="A88" s="18">
        <f>A89+1</f>
        <v>2018</v>
      </c>
      <c r="B88" s="45">
        <v>3475</v>
      </c>
      <c r="C88" s="191">
        <f>+TRUNC(B88/50)*50</f>
        <v>3450</v>
      </c>
      <c r="D88" s="45">
        <v>6925</v>
      </c>
      <c r="E88" s="191">
        <f>+TRUNC(D88/50)*50</f>
        <v>6900</v>
      </c>
      <c r="F88" s="44">
        <v>1000</v>
      </c>
    </row>
    <row r="89" ht="12.75" customHeight="1" spans="1:6" x14ac:dyDescent="0.25">
      <c r="A89" s="18">
        <f>A90+1</f>
        <v>2017</v>
      </c>
      <c r="B89" s="45">
        <v>3425</v>
      </c>
      <c r="C89" s="191">
        <f>+TRUNC(B89/50)*50</f>
        <v>3400</v>
      </c>
      <c r="D89" s="45">
        <v>6775</v>
      </c>
      <c r="E89" s="191">
        <f>+TRUNC(D89/50)*50</f>
        <v>6750</v>
      </c>
      <c r="F89" s="44">
        <v>1000</v>
      </c>
    </row>
    <row r="90" ht="12.75" customHeight="1" spans="1:6" x14ac:dyDescent="0.25">
      <c r="A90" s="18">
        <f>A91+1</f>
        <v>2016</v>
      </c>
      <c r="B90" s="45">
        <v>3375</v>
      </c>
      <c r="C90" s="191">
        <f>+TRUNC(B90/50)*50</f>
        <v>3350</v>
      </c>
      <c r="D90" s="45">
        <v>6775</v>
      </c>
      <c r="E90" s="191">
        <f>+TRUNC(D90/50)*50</f>
        <v>6750</v>
      </c>
      <c r="F90" s="45">
        <f>+F92</f>
        <v>1000</v>
      </c>
    </row>
    <row r="91" ht="12.75" customHeight="1" spans="1:6" x14ac:dyDescent="0.25">
      <c r="A91" s="18">
        <f>A92+1</f>
        <v>2015</v>
      </c>
      <c r="B91" s="45">
        <v>3375</v>
      </c>
      <c r="C91" s="191">
        <f>+TRUNC(B91/50)*50</f>
        <v>3350</v>
      </c>
      <c r="D91" s="45">
        <v>6675</v>
      </c>
      <c r="E91" s="191">
        <f>+TRUNC(D91/50)*50</f>
        <v>6650</v>
      </c>
      <c r="F91" s="45">
        <f>+F93</f>
        <v>1000</v>
      </c>
    </row>
    <row r="92" ht="12.75" customHeight="1" spans="1:6" x14ac:dyDescent="0.25">
      <c r="A92" s="18">
        <f>A93+1</f>
        <v>2014</v>
      </c>
      <c r="B92" s="45">
        <v>3325</v>
      </c>
      <c r="C92" s="191">
        <f>+TRUNC(B92/50)*50</f>
        <v>3300</v>
      </c>
      <c r="D92" s="44">
        <v>6575</v>
      </c>
      <c r="E92" s="191">
        <f>+TRUNC(D92/50)*50</f>
        <v>6550</v>
      </c>
      <c r="F92" s="44">
        <f>+F93</f>
        <v>1000</v>
      </c>
    </row>
    <row r="93" ht="12.75" customHeight="1" spans="1:6" x14ac:dyDescent="0.25">
      <c r="A93" s="18">
        <f>A94+1</f>
        <v>2013</v>
      </c>
      <c r="B93" s="45">
        <v>3275</v>
      </c>
      <c r="C93" s="191">
        <f>+TRUNC(B93/50)*50</f>
        <v>3250</v>
      </c>
      <c r="D93" s="44">
        <v>6475</v>
      </c>
      <c r="E93" s="191">
        <f>+TRUNC(D93/50)*50</f>
        <v>6450</v>
      </c>
      <c r="F93" s="44">
        <f>+F94</f>
        <v>1000</v>
      </c>
    </row>
    <row r="94" ht="12.75" customHeight="1" spans="1:6" x14ac:dyDescent="0.25">
      <c r="A94" s="18">
        <f>A95+1</f>
        <v>2012</v>
      </c>
      <c r="B94" s="45">
        <v>3125</v>
      </c>
      <c r="C94" s="191">
        <f>+TRUNC(B94/50)*50</f>
        <v>3100</v>
      </c>
      <c r="D94" s="44">
        <v>6275</v>
      </c>
      <c r="E94" s="191">
        <f>+TRUNC(D94/50)*50</f>
        <v>6250</v>
      </c>
      <c r="F94" s="44">
        <f>+F95</f>
        <v>1000</v>
      </c>
    </row>
    <row r="95" ht="12.75" customHeight="1" spans="1:6" x14ac:dyDescent="0.25">
      <c r="A95" s="18">
        <f>A96+1</f>
        <v>2011</v>
      </c>
      <c r="B95" s="45">
        <v>3075</v>
      </c>
      <c r="C95" s="191">
        <f>+TRUNC(B95/50)*50</f>
        <v>3050</v>
      </c>
      <c r="D95" s="44">
        <v>6175</v>
      </c>
      <c r="E95" s="191">
        <f>+TRUNC(D95/50)*50</f>
        <v>6150</v>
      </c>
      <c r="F95" s="44">
        <f>+F96</f>
        <v>1000</v>
      </c>
    </row>
    <row r="96" ht="12.75" customHeight="1" spans="1:6" x14ac:dyDescent="0.25">
      <c r="A96" s="18">
        <f>A97+1</f>
        <v>2010</v>
      </c>
      <c r="B96" s="45">
        <v>3075</v>
      </c>
      <c r="C96" s="191">
        <f>+TRUNC(B96/50)*50</f>
        <v>3050</v>
      </c>
      <c r="D96" s="44">
        <v>6175</v>
      </c>
      <c r="E96" s="191">
        <f>+TRUNC(D96/50)*50</f>
        <v>6150</v>
      </c>
      <c r="F96" s="44">
        <f>+F89</f>
        <v>1000</v>
      </c>
    </row>
    <row r="97" ht="12.75" customHeight="1" spans="1:6" x14ac:dyDescent="0.25">
      <c r="A97" s="18">
        <f>A98+1</f>
        <v>2009</v>
      </c>
      <c r="B97" s="45">
        <v>3025</v>
      </c>
      <c r="C97" s="191">
        <f>+TRUNC(B97/50)*50</f>
        <v>3000</v>
      </c>
      <c r="D97" s="44">
        <v>5975</v>
      </c>
      <c r="E97" s="191">
        <f>+TRUNC(D97/50)*50</f>
        <v>5950</v>
      </c>
      <c r="F97" s="44">
        <f>+F90</f>
        <v>1000</v>
      </c>
    </row>
    <row r="98" ht="12.75" customHeight="1" spans="1:6" x14ac:dyDescent="0.25">
      <c r="A98" s="18">
        <f>A99+1</f>
        <v>2008</v>
      </c>
      <c r="B98" s="45">
        <v>2925</v>
      </c>
      <c r="C98" s="191">
        <f>+TRUNC(B98/50)*50</f>
        <v>2900</v>
      </c>
      <c r="D98" s="45">
        <v>5825</v>
      </c>
      <c r="E98" s="191">
        <f>+TRUNC(D98/50)*50</f>
        <v>5800</v>
      </c>
      <c r="F98" s="45">
        <v>900</v>
      </c>
    </row>
    <row r="99" ht="12.75" customHeight="1" spans="1:6" x14ac:dyDescent="0.25">
      <c r="A99" s="18">
        <f>A100+1</f>
        <v>2007</v>
      </c>
      <c r="B99" s="45">
        <v>2875</v>
      </c>
      <c r="C99" s="191">
        <f>+TRUNC(B99/50)*50</f>
        <v>2850</v>
      </c>
      <c r="D99" s="45">
        <v>5675</v>
      </c>
      <c r="E99" s="191">
        <f>+TRUNC(D99/50)*50</f>
        <v>5650</v>
      </c>
      <c r="F99" s="45">
        <v>800</v>
      </c>
    </row>
    <row r="100" ht="12.75" customHeight="1" spans="1:6" x14ac:dyDescent="0.25">
      <c r="A100" s="18">
        <f>A101+1</f>
        <v>2006</v>
      </c>
      <c r="B100" s="45">
        <v>2725</v>
      </c>
      <c r="C100" s="191">
        <f>+TRUNC(B100/50)*50</f>
        <v>2700</v>
      </c>
      <c r="D100" s="45">
        <v>5475</v>
      </c>
      <c r="E100" s="191">
        <f>+TRUNC(D100/50)*50</f>
        <v>5450</v>
      </c>
      <c r="F100" s="45">
        <v>700</v>
      </c>
    </row>
    <row r="101" ht="12.75" customHeight="1" spans="1:6" x14ac:dyDescent="0.25">
      <c r="A101" s="18">
        <f>A102+1</f>
        <v>2005</v>
      </c>
      <c r="B101" s="45">
        <v>2675</v>
      </c>
      <c r="C101" s="191">
        <f>+TRUNC(B101/50)*50</f>
        <v>2650</v>
      </c>
      <c r="D101" s="45">
        <v>5275</v>
      </c>
      <c r="E101" s="191">
        <f>+TRUNC(D101/50)*50</f>
        <v>5250</v>
      </c>
      <c r="F101" s="45">
        <v>600</v>
      </c>
    </row>
    <row r="102" ht="12.75" customHeight="1" spans="1:6" x14ac:dyDescent="0.25">
      <c r="A102" s="18">
        <v>2004</v>
      </c>
      <c r="B102" s="88">
        <v>2600</v>
      </c>
      <c r="C102" s="209">
        <f>+TRUNC(B102/50)*50</f>
        <v>2600</v>
      </c>
      <c r="D102" s="88">
        <v>5175</v>
      </c>
      <c r="E102" s="209">
        <f>+TRUNC(D102/50)*50</f>
        <v>5150</v>
      </c>
      <c r="F102" s="88">
        <v>500</v>
      </c>
    </row>
    <row r="103" ht="12.75" customHeight="1" spans="1:7" x14ac:dyDescent="0.25">
      <c r="A103" s="34" t="s">
        <v>437</v>
      </c>
      <c r="B103" s="79"/>
      <c r="C103" s="45"/>
      <c r="D103" s="45"/>
      <c r="E103" s="45"/>
      <c r="F103" s="45"/>
      <c r="G103" s="45"/>
    </row>
    <row r="104" ht="12.75" customHeight="1" spans="1:7" x14ac:dyDescent="0.25">
      <c r="A104" s="34" t="s">
        <v>438</v>
      </c>
      <c r="B104" s="79"/>
      <c r="C104" s="45"/>
      <c r="D104" s="45"/>
      <c r="E104" s="45"/>
      <c r="F104" s="45"/>
      <c r="G104" s="45"/>
    </row>
    <row r="105" ht="12.75" customHeight="1" spans="1:1" x14ac:dyDescent="0.25">
      <c r="A105" s="34" t="s">
        <v>439</v>
      </c>
    </row>
  </sheetData>
  <mergeCells count="1">
    <mergeCell ref="A9:D9"/>
  </mergeCells>
  <pageMargins left="0.75" right="0.75" top="1" bottom="1" header="0.511811023622047" footer="0.511811023622047"/>
  <pageSetup paperSize="1" orientation="landscape" horizontalDpi="300" verticalDpi="300" scale="94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workbookViewId="0" zoomScale="100" zoomScaleNormal="100" view="normal">
      <selection activeCell="K17" sqref="K17"/>
    </sheetView>
  </sheetViews>
  <sheetFormatPr defaultRowHeight="12.75" outlineLevelRow="0" outlineLevelCol="0" x14ac:dyDescent="0" defaultColWidth="9.1640625" customHeight="1"/>
  <cols>
    <col min="1" max="1" width="11.67" style="16" customWidth="1"/>
    <col min="2" max="3" width="12.67" style="16" customWidth="1"/>
    <col min="4" max="4" width="14.67" style="16" customWidth="1"/>
    <col min="5" max="5" width="4.83" style="16" customWidth="1"/>
    <col min="6" max="6" width="14.67" style="16" customWidth="1"/>
    <col min="7" max="9" width="15" style="16" customWidth="1"/>
    <col min="10" max="10" width="8.67" style="16" customWidth="1"/>
    <col min="11" max="11" width="10.66" style="16" customWidth="1"/>
    <col min="12" max="21" width="8.67" style="16" customWidth="1"/>
    <col min="22" max="16384" width="9.16" style="16" customWidth="1"/>
  </cols>
  <sheetData>
    <row r="1" ht="18" customHeight="1" spans="1:1" x14ac:dyDescent="0.25">
      <c r="A1" s="14" t="s">
        <v>320</v>
      </c>
    </row>
    <row r="2" ht="15.75" customHeight="1" spans="1:1" x14ac:dyDescent="0.25">
      <c r="A2" s="181" t="s">
        <v>321</v>
      </c>
    </row>
    <row r="3" ht="15.75" customHeight="1" spans="1:1" x14ac:dyDescent="0.25">
      <c r="A3" s="181" t="s">
        <v>322</v>
      </c>
    </row>
    <row r="4" ht="15.75" customHeight="1" spans="1:1" x14ac:dyDescent="0.25">
      <c r="A4" s="181" t="s">
        <v>323</v>
      </c>
    </row>
    <row r="6" ht="15.75" customHeight="1" spans="1:24" x14ac:dyDescent="0.25">
      <c r="A6" s="181" t="s">
        <v>324</v>
      </c>
      <c r="L6" s="210" t="s">
        <v>325</v>
      </c>
      <c r="M6" s="211">
        <v>42248</v>
      </c>
      <c r="N6" s="211">
        <v>42278</v>
      </c>
      <c r="O6" s="211">
        <v>42309</v>
      </c>
      <c r="P6" s="211">
        <v>42339</v>
      </c>
      <c r="Q6" s="211">
        <v>42370</v>
      </c>
      <c r="R6" s="211">
        <v>42401</v>
      </c>
      <c r="S6" s="211">
        <v>42430</v>
      </c>
      <c r="T6" s="211">
        <v>42461</v>
      </c>
      <c r="U6" s="211">
        <v>42491</v>
      </c>
      <c r="V6" s="211">
        <v>42522</v>
      </c>
      <c r="W6" s="211">
        <v>42552</v>
      </c>
      <c r="X6" s="211">
        <v>42583</v>
      </c>
    </row>
    <row r="7" ht="15" customHeight="1" spans="1:24" x14ac:dyDescent="0.25">
      <c r="A7" s="20" t="s">
        <v>326</v>
      </c>
      <c r="C7" s="20">
        <f>L8*(L7/L8)</f>
        <v>135.993</v>
      </c>
      <c r="K7" s="20" t="s">
        <v>327</v>
      </c>
      <c r="L7" s="20">
        <f>SUM(M7:X7)/12</f>
        <v>135.993</v>
      </c>
      <c r="M7" s="212">
        <v>135.837</v>
      </c>
      <c r="N7" s="212">
        <v>135.735</v>
      </c>
      <c r="O7" s="212">
        <v>135.393</v>
      </c>
      <c r="P7" s="212">
        <v>134.788</v>
      </c>
      <c r="Q7" s="212">
        <v>134.966</v>
      </c>
      <c r="R7" s="212">
        <v>134.953</v>
      </c>
      <c r="S7" s="212">
        <v>135.655</v>
      </c>
      <c r="T7" s="212">
        <v>136.332</v>
      </c>
      <c r="U7" s="212">
        <v>136.895</v>
      </c>
      <c r="V7" s="212">
        <v>137.329</v>
      </c>
      <c r="W7" s="212">
        <v>137.007</v>
      </c>
      <c r="X7" s="213">
        <v>137.026</v>
      </c>
    </row>
    <row r="8" ht="15" customHeight="1" spans="1:24" x14ac:dyDescent="0.25">
      <c r="A8" s="16" t="s">
        <v>328</v>
      </c>
      <c r="K8" s="20" t="s">
        <v>329</v>
      </c>
      <c r="L8" s="20">
        <f>SUM(M8:X8)/12</f>
        <v>238.649</v>
      </c>
      <c r="M8" s="212">
        <v>237.945</v>
      </c>
      <c r="N8" s="214">
        <v>237.838</v>
      </c>
      <c r="O8" s="214">
        <v>237.336</v>
      </c>
      <c r="P8" s="214">
        <v>236.525</v>
      </c>
      <c r="Q8" s="214">
        <v>236.916</v>
      </c>
      <c r="R8" s="214">
        <v>237.111</v>
      </c>
      <c r="S8" s="214">
        <v>238.132</v>
      </c>
      <c r="T8" s="214">
        <v>239.261</v>
      </c>
      <c r="U8" s="214">
        <v>240.229</v>
      </c>
      <c r="V8" s="214">
        <v>241.018</v>
      </c>
      <c r="W8" s="214">
        <v>240.628</v>
      </c>
      <c r="X8" s="214">
        <v>240.849</v>
      </c>
    </row>
    <row r="10" ht="15.75" customHeight="1" spans="1:8" x14ac:dyDescent="0.25">
      <c r="A10" s="181"/>
      <c r="F10" s="20"/>
      <c r="H10" s="20"/>
    </row>
    <row r="11" ht="45.75" customHeight="1" spans="1:25" x14ac:dyDescent="0.25">
      <c r="A11" s="181" t="s">
        <v>370</v>
      </c>
      <c r="F11" s="215" t="s">
        <v>371</v>
      </c>
      <c r="G11" s="215" t="s">
        <v>440</v>
      </c>
      <c r="H11" s="215" t="s">
        <v>441</v>
      </c>
      <c r="I11" s="215" t="s">
        <v>373</v>
      </c>
      <c r="J11" s="217" t="s">
        <v>343</v>
      </c>
      <c r="K11" s="218"/>
      <c r="L11" s="218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</row>
    <row r="12" ht="33" customHeight="1" spans="1:25" x14ac:dyDescent="0.25">
      <c r="A12" s="220" t="s">
        <v>6</v>
      </c>
      <c r="B12" s="207" t="s">
        <v>344</v>
      </c>
      <c r="C12" s="207" t="s">
        <v>345</v>
      </c>
      <c r="D12" s="207" t="s">
        <v>346</v>
      </c>
      <c r="E12" s="207"/>
      <c r="F12" s="207" t="s">
        <v>442</v>
      </c>
      <c r="G12" s="207" t="s">
        <v>443</v>
      </c>
      <c r="H12" s="207" t="s">
        <v>444</v>
      </c>
      <c r="I12" s="207" t="s">
        <v>445</v>
      </c>
      <c r="J12" s="221" t="s">
        <v>6</v>
      </c>
      <c r="K12" s="207" t="s">
        <v>360</v>
      </c>
      <c r="L12" s="222" t="s">
        <v>361</v>
      </c>
      <c r="M12" s="20" t="s">
        <v>125</v>
      </c>
      <c r="N12" s="20" t="s">
        <v>124</v>
      </c>
      <c r="O12" s="20" t="s">
        <v>123</v>
      </c>
      <c r="P12" s="20" t="s">
        <v>122</v>
      </c>
      <c r="Q12" s="20" t="s">
        <v>121</v>
      </c>
      <c r="R12" s="20" t="s">
        <v>120</v>
      </c>
      <c r="S12" s="20" t="s">
        <v>119</v>
      </c>
      <c r="T12" s="20" t="s">
        <v>118</v>
      </c>
      <c r="U12" s="20" t="s">
        <v>117</v>
      </c>
      <c r="V12" s="20" t="s">
        <v>116</v>
      </c>
      <c r="W12" s="20" t="s">
        <v>115</v>
      </c>
      <c r="X12" s="20" t="s">
        <v>114</v>
      </c>
      <c r="Y12" s="223" t="s">
        <v>362</v>
      </c>
    </row>
    <row r="13" ht="12.75" customHeight="1" spans="1:25" x14ac:dyDescent="0.25">
      <c r="A13" s="224" t="s">
        <v>363</v>
      </c>
      <c r="B13" s="225">
        <f>SUM(U14, V14,W14,X14,M13,N13,O13,P13,Q13,R13,S13,T13)/12</f>
        <v>300</v>
      </c>
      <c r="C13" s="226">
        <v>0.03</v>
      </c>
      <c r="D13" s="227">
        <f>C13</f>
        <v>0.03</v>
      </c>
      <c r="E13" s="228"/>
      <c r="F13" s="170">
        <f>F14*(1+$D13)</f>
        <v>1.41982894174714</v>
      </c>
      <c r="G13" s="170">
        <f>G14*(1+$D13)</f>
        <v>1.46292705534412</v>
      </c>
      <c r="H13" s="170">
        <f>H14*(1+$D13)</f>
        <v>1.49270029708992</v>
      </c>
      <c r="I13" s="170">
        <f>I14*(1+$D13)</f>
        <v>1.54840942247027</v>
      </c>
      <c r="J13" s="229">
        <f>J14+1</f>
        <v>2023</v>
      </c>
      <c r="K13" s="230">
        <f>(Y13-Y14)/Y14</f>
        <v>0.0403911639578444</v>
      </c>
      <c r="L13" s="231">
        <f>L14+1</f>
        <v>2022</v>
      </c>
      <c r="M13" s="292">
        <v>300</v>
      </c>
      <c r="N13" s="292">
        <v>300</v>
      </c>
      <c r="O13" s="292">
        <v>300</v>
      </c>
      <c r="P13" s="292">
        <v>300</v>
      </c>
      <c r="Q13" s="292">
        <v>300</v>
      </c>
      <c r="R13" s="292">
        <v>300</v>
      </c>
      <c r="S13" s="292">
        <v>300</v>
      </c>
      <c r="T13" s="292">
        <v>300</v>
      </c>
      <c r="U13" s="292">
        <v>300</v>
      </c>
      <c r="V13" s="292">
        <v>300</v>
      </c>
      <c r="W13" s="292">
        <v>300</v>
      </c>
      <c r="X13" s="292">
        <v>300</v>
      </c>
      <c r="Y13" s="293">
        <f>(SUM(S14:X14)+SUM(M13:R13))/12</f>
        <v>300</v>
      </c>
    </row>
    <row r="14" ht="12.75" customHeight="1" spans="1:25" x14ac:dyDescent="0.25">
      <c r="A14" s="224" t="s">
        <v>364</v>
      </c>
      <c r="B14" s="225">
        <f>SUM(U15, V15,W15,X15,M14,N14,O14,P14,Q14,R14,S14,T14)/12</f>
        <v>296.167</v>
      </c>
      <c r="C14" s="226">
        <v>0.03</v>
      </c>
      <c r="D14" s="227">
        <f>C14</f>
        <v>0.03</v>
      </c>
      <c r="E14" s="228"/>
      <c r="F14" s="170">
        <f>F15*(1+$D14)</f>
        <v>1.37847470072538</v>
      </c>
      <c r="G14" s="170">
        <f>G15*(1+$D14)</f>
        <v>1.42031752946031</v>
      </c>
      <c r="H14" s="170">
        <f>H15*(1+$D14)</f>
        <v>1.44922358940769</v>
      </c>
      <c r="I14" s="170">
        <f>I15*(1+$D14)</f>
        <v>1.50331011890318</v>
      </c>
      <c r="J14" s="229">
        <f>J15+1</f>
        <v>2022</v>
      </c>
      <c r="K14" s="230">
        <f>(Y14-Y15)/Y15</f>
        <v>0.150593379553428</v>
      </c>
      <c r="L14" s="231">
        <f>L15+1</f>
        <v>2021</v>
      </c>
      <c r="M14" s="292">
        <v>300</v>
      </c>
      <c r="N14" s="292">
        <v>300</v>
      </c>
      <c r="O14" s="292">
        <v>300</v>
      </c>
      <c r="P14" s="292">
        <v>300</v>
      </c>
      <c r="Q14" s="292">
        <v>300</v>
      </c>
      <c r="R14" s="292">
        <v>300</v>
      </c>
      <c r="S14" s="292">
        <v>300</v>
      </c>
      <c r="T14" s="292">
        <v>300</v>
      </c>
      <c r="U14" s="292">
        <v>300</v>
      </c>
      <c r="V14" s="292">
        <v>300</v>
      </c>
      <c r="W14" s="292">
        <v>300</v>
      </c>
      <c r="X14" s="292">
        <v>300</v>
      </c>
      <c r="Y14" s="293">
        <f>(SUM(S15:X15)+SUM(M14:R14))/12</f>
        <v>288.353083333333</v>
      </c>
    </row>
    <row r="15" ht="12.75" customHeight="1" spans="1:25" x14ac:dyDescent="0.25">
      <c r="A15" s="234">
        <f>A16+1</f>
        <v>2021</v>
      </c>
      <c r="B15" s="235">
        <f>SUM(U16, V16,W16,X16,M15,N15,O15,P15,Q15,R15,S15,T15)/12</f>
        <v>251.102916666667</v>
      </c>
      <c r="C15" s="236">
        <f>K15</f>
        <v>0.0143236729151446</v>
      </c>
      <c r="D15" s="237">
        <f>C15</f>
        <v>0.0143236729151446</v>
      </c>
      <c r="E15" s="243"/>
      <c r="F15" s="172">
        <f>F16*(1+$D15)</f>
        <v>1.33832495216056</v>
      </c>
      <c r="G15" s="172">
        <f>G16*(1+$D15)</f>
        <v>1.37894905772846</v>
      </c>
      <c r="H15" s="172">
        <f>H16*(1+$D15)</f>
        <v>1.4070131935997</v>
      </c>
      <c r="I15" s="172">
        <f>I16*(1+$D15)</f>
        <v>1.45952438728464</v>
      </c>
      <c r="J15" s="238">
        <f>J16+1</f>
        <v>2021</v>
      </c>
      <c r="K15" s="239">
        <f>(Y15-Y16)/Y16</f>
        <v>0.0143236729151446</v>
      </c>
      <c r="L15" s="240">
        <f>L16+1</f>
        <v>2020</v>
      </c>
      <c r="M15" s="16">
        <v>251.361</v>
      </c>
      <c r="N15" s="294">
        <v>251.935</v>
      </c>
      <c r="O15" s="294">
        <v>251.375</v>
      </c>
      <c r="P15" s="294">
        <v>249.515</v>
      </c>
      <c r="Q15" s="294">
        <v>249.521</v>
      </c>
      <c r="R15" s="294">
        <v>251.054</v>
      </c>
      <c r="S15" s="294">
        <v>252.636</v>
      </c>
      <c r="T15" s="294">
        <v>253.597</v>
      </c>
      <c r="U15" s="294">
        <v>254.004</v>
      </c>
      <c r="V15" s="292">
        <v>300</v>
      </c>
      <c r="W15" s="292">
        <v>300</v>
      </c>
      <c r="X15" s="292">
        <v>300</v>
      </c>
      <c r="Y15" s="293">
        <f>(SUM(S16:X16)+SUM(M15:R15))/12</f>
        <v>250.6125</v>
      </c>
    </row>
    <row r="16" ht="12.75" customHeight="1" spans="1:25" x14ac:dyDescent="0.25">
      <c r="A16" s="234">
        <f>A17+1</f>
        <v>2020</v>
      </c>
      <c r="B16" s="235">
        <f>SUM(U17, V17,W17,X17,M16,N16,O16,P16,Q16,R16,S16,T16)/12</f>
        <v>247.72825</v>
      </c>
      <c r="C16" s="236">
        <f>K16</f>
        <v>0.0203633395188512</v>
      </c>
      <c r="D16" s="237">
        <f>C16</f>
        <v>0.0203633395188512</v>
      </c>
      <c r="E16" s="228"/>
      <c r="F16" s="172">
        <f>F17*(1+$D16)</f>
        <v>1.31942592675003</v>
      </c>
      <c r="G16" s="172">
        <f>G17*(1+$D16)</f>
        <v>1.35947636296942</v>
      </c>
      <c r="H16" s="172">
        <f>H17*(1+$D16)</f>
        <v>1.38714419388042</v>
      </c>
      <c r="I16" s="172">
        <f>I17*(1+$D16)</f>
        <v>1.43891385586023</v>
      </c>
      <c r="J16" s="238">
        <f>J17+1</f>
        <v>2020</v>
      </c>
      <c r="K16" s="239">
        <f>(Y16-Y17)/Y17</f>
        <v>0.0203633395188512</v>
      </c>
      <c r="L16" s="240">
        <f>L17+1</f>
        <v>2019</v>
      </c>
      <c r="M16" s="295">
        <v>245.133</v>
      </c>
      <c r="N16" s="295">
        <v>246.218</v>
      </c>
      <c r="O16" s="295">
        <v>247.768</v>
      </c>
      <c r="P16" s="295">
        <v>249.332</v>
      </c>
      <c r="Q16" s="295">
        <v>249.871</v>
      </c>
      <c r="R16" s="295">
        <v>249.747</v>
      </c>
      <c r="S16" s="295">
        <v>250.236</v>
      </c>
      <c r="T16" s="295">
        <v>250.112</v>
      </c>
      <c r="U16" s="295">
        <v>250.251</v>
      </c>
      <c r="V16" s="16">
        <v>250.894</v>
      </c>
      <c r="W16" s="294">
        <v>250.644</v>
      </c>
      <c r="X16" s="16">
        <v>250.452</v>
      </c>
      <c r="Y16" s="296">
        <f>(SUM(S17:X17)+SUM(M16:R16))/12</f>
        <v>247.0735</v>
      </c>
    </row>
    <row r="17" ht="12.75" customHeight="1" spans="1:25" x14ac:dyDescent="0.25">
      <c r="A17" s="234">
        <f>A18+1</f>
        <v>2019</v>
      </c>
      <c r="B17" s="235">
        <f>SUM(U18, V18,W18,X18,M17,N17,O17,P17,Q17,R17,S17,T17)/12</f>
        <v>243.344833333333</v>
      </c>
      <c r="C17" s="236">
        <f>K17</f>
        <v>0.0233729715413538</v>
      </c>
      <c r="D17" s="237">
        <f>C17</f>
        <v>0.0233729715413538</v>
      </c>
      <c r="E17" s="243"/>
      <c r="F17" s="172">
        <f>F18*(1+$D17)</f>
        <v>1.29309421031552</v>
      </c>
      <c r="G17" s="172">
        <f>G18*(1+$D17)</f>
        <v>1.33234536200651</v>
      </c>
      <c r="H17" s="172">
        <f>H18*(1+$D17)</f>
        <v>1.35946102741649</v>
      </c>
      <c r="I17" s="172">
        <f>I18*(1+$D17)</f>
        <v>1.4101975248726</v>
      </c>
      <c r="J17" s="238">
        <v>2019</v>
      </c>
      <c r="K17" s="239">
        <f>(Y17-Y18)/Y18</f>
        <v>0.0233729715413538</v>
      </c>
      <c r="L17" s="240">
        <f>L18+1</f>
        <v>2018</v>
      </c>
      <c r="M17" s="295">
        <v>241.919</v>
      </c>
      <c r="N17" s="295">
        <v>242.988</v>
      </c>
      <c r="O17" s="295">
        <v>243.463</v>
      </c>
      <c r="P17" s="295">
        <v>244.607</v>
      </c>
      <c r="Q17" s="295">
        <v>245.77</v>
      </c>
      <c r="R17" s="295">
        <v>246.196</v>
      </c>
      <c r="S17" s="295">
        <v>246.155</v>
      </c>
      <c r="T17" s="295">
        <v>246.336</v>
      </c>
      <c r="U17" s="295">
        <v>246.565</v>
      </c>
      <c r="V17" s="295">
        <v>247.038</v>
      </c>
      <c r="W17" s="295">
        <v>245.933</v>
      </c>
      <c r="X17" s="295">
        <v>244.786</v>
      </c>
      <c r="Y17" s="296">
        <f>(SUM(S18:X18)+SUM(M17:R17))/12</f>
        <v>242.142666666667</v>
      </c>
    </row>
    <row r="18" ht="12.75" customHeight="1" spans="1:25" x14ac:dyDescent="0.25">
      <c r="A18" s="234">
        <f>A19+1</f>
        <v>2018</v>
      </c>
      <c r="B18" s="235">
        <f>SUM(U19, V19,W19,X19,M18,N18,O18,P18,Q18,R18,S18,T18)/12</f>
        <v>237.3115</v>
      </c>
      <c r="C18" s="236">
        <f>K18</f>
        <v>0.0169136531592627</v>
      </c>
      <c r="D18" s="237">
        <f>C18</f>
        <v>0.0169136531592627</v>
      </c>
      <c r="E18" s="243"/>
      <c r="F18" s="172">
        <f>F19*(1+$D18)</f>
        <v>1.26356103422189</v>
      </c>
      <c r="G18" s="172">
        <f>G19*(1+$D18)</f>
        <v>1.30191572286671</v>
      </c>
      <c r="H18" s="172">
        <f>H19*(1+$D18)</f>
        <v>1.32841208945448</v>
      </c>
      <c r="I18" s="172">
        <f>I19*(1+$D18)</f>
        <v>1.37798980829896</v>
      </c>
      <c r="J18" s="246" t="s">
        <v>365</v>
      </c>
      <c r="K18" s="239">
        <f>(Y18-Y19)/Y19</f>
        <v>0.0169136531592627</v>
      </c>
      <c r="L18" s="240">
        <f>L19+1</f>
        <v>2017</v>
      </c>
      <c r="M18" s="295">
        <v>236.854</v>
      </c>
      <c r="N18" s="295">
        <v>237.477</v>
      </c>
      <c r="O18" s="295">
        <v>237.656</v>
      </c>
      <c r="P18" s="295">
        <v>238.432</v>
      </c>
      <c r="Q18" s="295">
        <v>238.609</v>
      </c>
      <c r="R18" s="295">
        <v>238.813</v>
      </c>
      <c r="S18" s="295">
        <v>238.617</v>
      </c>
      <c r="T18" s="295">
        <v>239.448</v>
      </c>
      <c r="U18" s="295">
        <v>240.939</v>
      </c>
      <c r="V18" s="295">
        <v>240.573</v>
      </c>
      <c r="W18" s="295">
        <v>240.666</v>
      </c>
      <c r="X18" s="295">
        <v>240.526</v>
      </c>
      <c r="Y18" s="296">
        <f>(SUM(S19:X19)+SUM(M18:R18))/12</f>
        <v>236.612333333333</v>
      </c>
    </row>
    <row r="19" ht="12.75" customHeight="1" spans="1:25" x14ac:dyDescent="0.25">
      <c r="A19" s="234">
        <f>A20+1</f>
        <v>2017</v>
      </c>
      <c r="B19" s="235">
        <f>SUM(U20, V20,W20,X20,M19,N19,O19,P19,Q19,R19,S19,T19)/12</f>
        <v>232.8855</v>
      </c>
      <c r="C19" s="236">
        <f>K19</f>
        <v>0.00276790537046184</v>
      </c>
      <c r="D19" s="237">
        <f>C19</f>
        <v>0.00276790537046184</v>
      </c>
      <c r="E19" s="207"/>
      <c r="F19" s="172">
        <f>F20*(1+$D19)</f>
        <v>1.24254505807485</v>
      </c>
      <c r="G19" s="172">
        <f>G20*(1+$D19)</f>
        <v>1.28026181851529</v>
      </c>
      <c r="H19" s="172">
        <f>H20*(1+$D19)</f>
        <v>1.30631748853748</v>
      </c>
      <c r="I19" s="172">
        <f>I20*(1+$D19)</f>
        <v>1.35507061392866</v>
      </c>
      <c r="J19" s="238">
        <f>J20+1</f>
        <v>2017</v>
      </c>
      <c r="K19" s="239">
        <f>(Y19-Y20)/Y20</f>
        <v>0.00276790537046184</v>
      </c>
      <c r="L19" s="240">
        <f>L20+1</f>
        <v>2016</v>
      </c>
      <c r="M19" s="295">
        <v>231.061</v>
      </c>
      <c r="N19" s="295">
        <v>230.972</v>
      </c>
      <c r="O19" s="295">
        <v>232.209</v>
      </c>
      <c r="P19" s="295">
        <v>233.438</v>
      </c>
      <c r="Q19" s="295">
        <v>234.436</v>
      </c>
      <c r="R19" s="295">
        <v>235.289</v>
      </c>
      <c r="S19" s="295">
        <v>234.771</v>
      </c>
      <c r="T19" s="295">
        <v>234.904</v>
      </c>
      <c r="U19" s="295">
        <v>235.495</v>
      </c>
      <c r="V19" s="295">
        <v>235.732</v>
      </c>
      <c r="W19" s="295">
        <v>235.215</v>
      </c>
      <c r="X19" s="295">
        <v>235.39</v>
      </c>
      <c r="Y19" s="296">
        <f>(SUM(S20:X20)+SUM(M19:R19))/12</f>
        <v>232.676916666667</v>
      </c>
    </row>
    <row r="20" ht="12.75" customHeight="1" spans="1:25" x14ac:dyDescent="0.25">
      <c r="A20" s="234">
        <f>A21+1</f>
        <v>2016</v>
      </c>
      <c r="B20" s="235">
        <f>SUM(U21, V21,W21,X21,M20,N20,O20,P20,Q20,R20,S20,T20)/12</f>
        <v>231.919416666667</v>
      </c>
      <c r="C20" s="236">
        <f>K20</f>
        <v>0.0034459470660438</v>
      </c>
      <c r="D20" s="237">
        <f>C20</f>
        <v>0.0034459470660438</v>
      </c>
      <c r="E20" s="207"/>
      <c r="F20" s="172">
        <f>F21*(1+$D20)</f>
        <v>1.23911530416982</v>
      </c>
      <c r="G20" s="172">
        <f>G21*(1+$D20)</f>
        <v>1.2767279563483</v>
      </c>
      <c r="H20" s="172">
        <f>H21*(1+$D20)</f>
        <v>1.3027117058108</v>
      </c>
      <c r="I20" s="172">
        <f>I21*(1+$D20)</f>
        <v>1.35133025964572</v>
      </c>
      <c r="J20" s="238">
        <f>J21+1</f>
        <v>2016</v>
      </c>
      <c r="K20" s="239">
        <f>(Y20-Y21)/Y21</f>
        <v>0.0034459470660438</v>
      </c>
      <c r="L20" s="240">
        <f>L21+1</f>
        <v>2015</v>
      </c>
      <c r="M20" s="295">
        <v>228.294</v>
      </c>
      <c r="N20" s="295">
        <v>229.421</v>
      </c>
      <c r="O20" s="295">
        <v>231.055</v>
      </c>
      <c r="P20" s="295">
        <v>231.52</v>
      </c>
      <c r="Q20" s="295">
        <v>232.908</v>
      </c>
      <c r="R20" s="295">
        <v>233.804</v>
      </c>
      <c r="S20" s="295">
        <v>233.806</v>
      </c>
      <c r="T20" s="295">
        <v>233.366</v>
      </c>
      <c r="U20" s="295">
        <v>232.661</v>
      </c>
      <c r="V20" s="295">
        <v>232.373</v>
      </c>
      <c r="W20" s="295">
        <v>231.721</v>
      </c>
      <c r="X20" s="295">
        <v>230.791</v>
      </c>
      <c r="Y20" s="296">
        <f>(SUM(S21:X21)+SUM(M20:R20))/12</f>
        <v>232.034666666667</v>
      </c>
    </row>
    <row r="21" ht="12.75" customHeight="1" spans="1:25" x14ac:dyDescent="0.25">
      <c r="A21" s="234">
        <f>A22+1</f>
        <v>2015</v>
      </c>
      <c r="B21" s="235">
        <f>SUM(U22, V22,W22,X22,M21,N21,O21,P21,Q21,R21,S21,T21)/12</f>
        <v>231.913833333333</v>
      </c>
      <c r="C21" s="236">
        <f>K21</f>
        <v>0.0148924559714658</v>
      </c>
      <c r="D21" s="237">
        <f>C21</f>
        <v>0.0148924559714658</v>
      </c>
      <c r="E21" s="207"/>
      <c r="F21" s="172">
        <f>F22*(1+$D21)</f>
        <v>1.23486004183169</v>
      </c>
      <c r="G21" s="172">
        <f>G22*(1+$D21)</f>
        <v>1.27234352790133</v>
      </c>
      <c r="H21" s="172">
        <f>H22*(1+$D21)</f>
        <v>1.29823804622439</v>
      </c>
      <c r="I21" s="172">
        <f>I22*(1+$D21)</f>
        <v>1.34668963843727</v>
      </c>
      <c r="J21" s="238">
        <f>J22+1</f>
        <v>2015</v>
      </c>
      <c r="K21" s="239">
        <f>(Y21-Y22)/Y22</f>
        <v>0.0148924559714658</v>
      </c>
      <c r="L21" s="240">
        <f>L22+1</f>
        <v>2014</v>
      </c>
      <c r="M21" s="295">
        <v>230.04</v>
      </c>
      <c r="N21" s="295">
        <v>230.871</v>
      </c>
      <c r="O21" s="295">
        <v>232.56</v>
      </c>
      <c r="P21" s="295">
        <v>233.443</v>
      </c>
      <c r="Q21" s="295">
        <v>234.216</v>
      </c>
      <c r="R21" s="295">
        <v>234.702</v>
      </c>
      <c r="S21" s="295">
        <v>234.525</v>
      </c>
      <c r="T21" s="295">
        <v>234.03</v>
      </c>
      <c r="U21" s="295">
        <v>234.17</v>
      </c>
      <c r="V21" s="295">
        <v>233.229</v>
      </c>
      <c r="W21" s="295">
        <v>231.551</v>
      </c>
      <c r="X21" s="295">
        <v>229.909</v>
      </c>
      <c r="Y21" s="296">
        <f>(SUM(S22:X22)+SUM(M21:R21))/12</f>
        <v>231.237833333333</v>
      </c>
    </row>
    <row r="22" ht="12.75" customHeight="1" spans="1:25" x14ac:dyDescent="0.25">
      <c r="A22" s="234">
        <f>A23+1</f>
        <v>2014</v>
      </c>
      <c r="B22" s="235">
        <f>SUM(U23, V23,W23,X23,M22,N22,O22,P22,Q22,R22,S22,T22)/12</f>
        <v>228.49625</v>
      </c>
      <c r="C22" s="236">
        <f>K22</f>
        <v>0.0159515786039499</v>
      </c>
      <c r="D22" s="237">
        <f>C22</f>
        <v>0.0159515786039499</v>
      </c>
      <c r="E22" s="227"/>
      <c r="F22" s="172">
        <f>F23*(1+$D22)</f>
        <v>1.21673979796182</v>
      </c>
      <c r="G22" s="172">
        <f>G23*(1+$D22)</f>
        <v>1.25367325416113</v>
      </c>
      <c r="H22" s="172">
        <f>H23*(1+$D22)</f>
        <v>1.27918779825957</v>
      </c>
      <c r="I22" s="172">
        <f>I23*(1+$D22)</f>
        <v>1.32692841543315</v>
      </c>
      <c r="J22" s="238">
        <f>J23+1</f>
        <v>2014</v>
      </c>
      <c r="K22" s="239">
        <f>(Y22-Y23)/Y23</f>
        <v>0.0159515786039499</v>
      </c>
      <c r="L22" s="240">
        <f>L23+1</f>
        <v>2013</v>
      </c>
      <c r="M22" s="295">
        <v>226.52</v>
      </c>
      <c r="N22" s="295">
        <v>228.677</v>
      </c>
      <c r="O22" s="295">
        <v>229.323</v>
      </c>
      <c r="P22" s="295">
        <v>228.949</v>
      </c>
      <c r="Q22" s="295">
        <v>229.399</v>
      </c>
      <c r="R22" s="295">
        <v>230.002</v>
      </c>
      <c r="S22" s="295">
        <v>230.084</v>
      </c>
      <c r="T22" s="295">
        <v>230.359</v>
      </c>
      <c r="U22" s="295">
        <v>230.537</v>
      </c>
      <c r="V22" s="295">
        <v>229.735</v>
      </c>
      <c r="W22" s="295">
        <v>229.133</v>
      </c>
      <c r="X22" s="295">
        <v>229.174</v>
      </c>
      <c r="Y22" s="296">
        <f>(SUM(S23:X23)+SUM(M22:R22))/12</f>
        <v>227.844666666667</v>
      </c>
    </row>
    <row r="23" ht="12.75" customHeight="1" spans="1:25" x14ac:dyDescent="0.25">
      <c r="A23" s="234">
        <f>A24+1</f>
        <v>2013</v>
      </c>
      <c r="B23" s="235">
        <f>SUM(U24, V24,W24,X24,M23,N23,O23,P23,Q23,R23,S23,T23)/12</f>
        <v>224.81825</v>
      </c>
      <c r="C23" s="236">
        <f>K23</f>
        <v>0.0318166935176533</v>
      </c>
      <c r="D23" s="237">
        <f>C23</f>
        <v>0.0318166935176533</v>
      </c>
      <c r="E23" s="227"/>
      <c r="F23" s="172">
        <f>F24*(1+$D23)</f>
        <v>1.19763561924258</v>
      </c>
      <c r="G23" s="172">
        <f>G24*(1+$D23)</f>
        <v>1.2339891787794</v>
      </c>
      <c r="H23" s="172">
        <f>H24*(1+$D23)</f>
        <v>1.25910311593525</v>
      </c>
      <c r="I23" s="172">
        <f>I24*(1+$D23)</f>
        <v>1.30609415190488</v>
      </c>
      <c r="J23" s="238">
        <f>J24+1</f>
        <v>2013</v>
      </c>
      <c r="K23" s="239">
        <f>(Y23-Y24)/Y24</f>
        <v>0.0318166935176533</v>
      </c>
      <c r="L23" s="240">
        <f>L24+1</f>
        <v>2012</v>
      </c>
      <c r="M23" s="295">
        <v>223.216</v>
      </c>
      <c r="N23" s="295">
        <v>224.317</v>
      </c>
      <c r="O23" s="295">
        <v>226.304</v>
      </c>
      <c r="P23" s="295">
        <v>227.012</v>
      </c>
      <c r="Q23" s="295">
        <v>226.6</v>
      </c>
      <c r="R23" s="295">
        <v>226.036</v>
      </c>
      <c r="S23" s="295">
        <v>225.568</v>
      </c>
      <c r="T23" s="295">
        <v>227.056</v>
      </c>
      <c r="U23" s="295">
        <v>228.184</v>
      </c>
      <c r="V23" s="295">
        <v>227.974</v>
      </c>
      <c r="W23" s="295">
        <v>226.595</v>
      </c>
      <c r="X23" s="295">
        <v>225.889</v>
      </c>
      <c r="Y23" s="296">
        <f>(SUM(S24:X24)+SUM(M23:R23))/12</f>
        <v>224.26725</v>
      </c>
    </row>
    <row r="24" ht="12.75" customHeight="1" spans="1:25" x14ac:dyDescent="0.25">
      <c r="A24" s="234">
        <f>A25+1</f>
        <v>2012</v>
      </c>
      <c r="B24" s="235">
        <f>SUM(U25, V25,W25,X25,M24,N24,O24,P24,Q24,R24,S24,T24)/12</f>
        <v>218.84425</v>
      </c>
      <c r="C24" s="236">
        <f>K24</f>
        <v>0.0233068910008053</v>
      </c>
      <c r="D24" s="237">
        <f>C24</f>
        <v>0.0233068910008053</v>
      </c>
      <c r="E24" s="172"/>
      <c r="F24" s="172">
        <f>F25*(1+$D24)</f>
        <v>1.16070579858484</v>
      </c>
      <c r="G24" s="172">
        <f>G25*(1+$D24)</f>
        <v>1.19593837406575</v>
      </c>
      <c r="H24" s="172">
        <f>H25*(1+$D24)</f>
        <v>1.22027790773837</v>
      </c>
      <c r="I24" s="172">
        <f>I25*(1+$D24)</f>
        <v>1.2658199466149</v>
      </c>
      <c r="J24" s="238">
        <f>J25+1</f>
        <v>2012</v>
      </c>
      <c r="K24" s="239">
        <f>(Y24-Y25)/Y25</f>
        <v>0.0233068910008053</v>
      </c>
      <c r="L24" s="240">
        <f>L25+1</f>
        <v>2011</v>
      </c>
      <c r="M24" s="295">
        <v>216.4</v>
      </c>
      <c r="N24" s="295">
        <v>217.535</v>
      </c>
      <c r="O24" s="295">
        <v>220.024</v>
      </c>
      <c r="P24" s="295">
        <v>221.743</v>
      </c>
      <c r="Q24" s="295">
        <v>222.954</v>
      </c>
      <c r="R24" s="295">
        <v>222.522</v>
      </c>
      <c r="S24" s="295">
        <v>222.686</v>
      </c>
      <c r="T24" s="295">
        <v>223.326</v>
      </c>
      <c r="U24" s="295">
        <v>223.688</v>
      </c>
      <c r="V24" s="295">
        <v>223.043</v>
      </c>
      <c r="W24" s="295">
        <v>222.813</v>
      </c>
      <c r="X24" s="295">
        <v>222.166</v>
      </c>
      <c r="Y24" s="296">
        <f>(SUM(S25:X25)+SUM(M24:R24))/12</f>
        <v>217.351833333333</v>
      </c>
    </row>
    <row r="25" ht="12.75" customHeight="1" spans="1:25" x14ac:dyDescent="0.25">
      <c r="A25" s="234">
        <f>A26+1</f>
        <v>2011</v>
      </c>
      <c r="B25" s="235">
        <f>SUM(U26, V26,W26,X26,M25,N25,O25,P25,Q25,R25,S25,T25)/12</f>
        <v>212.9365</v>
      </c>
      <c r="C25" s="236">
        <f>K25</f>
        <v>0.0122089342886666</v>
      </c>
      <c r="D25" s="237">
        <f>C25</f>
        <v>0.0122089342886666</v>
      </c>
      <c r="E25" s="172"/>
      <c r="F25" s="172">
        <f>F26*(1+$D25)</f>
        <v>1.13426950291487</v>
      </c>
      <c r="G25" s="172">
        <f>G26*(1+$D25)</f>
        <v>1.16869961942317</v>
      </c>
      <c r="H25" s="172">
        <f>H26*(1+$D25)</f>
        <v>1.19248479461027</v>
      </c>
      <c r="I25" s="172">
        <f>I26*(1+$D25)</f>
        <v>1.23698956563941</v>
      </c>
      <c r="J25" s="238">
        <f>J26+1</f>
        <v>2011</v>
      </c>
      <c r="K25" s="239">
        <f>(Y25-Y26)/Y26</f>
        <v>0.0122089342886666</v>
      </c>
      <c r="L25" s="240">
        <f>L26+1</f>
        <v>2010</v>
      </c>
      <c r="M25" s="295">
        <v>212.568</v>
      </c>
      <c r="N25" s="295">
        <v>212.544</v>
      </c>
      <c r="O25" s="295">
        <v>213.525</v>
      </c>
      <c r="P25" s="295">
        <v>213.958</v>
      </c>
      <c r="Q25" s="295">
        <v>214.124</v>
      </c>
      <c r="R25" s="295">
        <v>213.839</v>
      </c>
      <c r="S25" s="295">
        <v>213.898</v>
      </c>
      <c r="T25" s="295">
        <v>214.205</v>
      </c>
      <c r="U25" s="295">
        <v>214.306</v>
      </c>
      <c r="V25" s="295">
        <v>214.623</v>
      </c>
      <c r="W25" s="295">
        <v>214.75</v>
      </c>
      <c r="X25" s="295">
        <v>215.262</v>
      </c>
      <c r="Y25" s="296">
        <f>(SUM(S26:X26)+SUM(M25:R25))/12</f>
        <v>212.401416666667</v>
      </c>
    </row>
    <row r="26" ht="12.75" customHeight="1" spans="1:25" x14ac:dyDescent="0.25">
      <c r="A26" s="234">
        <f>A27+1</f>
        <v>2010</v>
      </c>
      <c r="B26" s="235">
        <f>SUM(U27, V27,W27,X27,M26,N26,O26,P26,Q26,R26,S26,T26)/12</f>
        <v>209.017083333333</v>
      </c>
      <c r="C26" s="236">
        <f>K26</f>
        <v>0.0118240908316484</v>
      </c>
      <c r="D26" s="237">
        <f>C26</f>
        <v>0.0118240908316484</v>
      </c>
      <c r="E26" s="172"/>
      <c r="F26" s="172">
        <f>F27*(1+$D26)</f>
        <v>1.12058831382671</v>
      </c>
      <c r="G26" s="172">
        <f>G27*(1+$D26)</f>
        <v>1.15460314549039</v>
      </c>
      <c r="H26" s="172">
        <f>H27*(1+$D26)</f>
        <v>1.17810143164593</v>
      </c>
      <c r="I26" s="172">
        <f>I27*(1+$D26)</f>
        <v>1.22206940063092</v>
      </c>
      <c r="J26" s="238">
        <f>J27+1</f>
        <v>2010</v>
      </c>
      <c r="K26" s="239">
        <f>(Y26-Y27)/Y27</f>
        <v>0.0118240908316484</v>
      </c>
      <c r="L26" s="240">
        <f>L27+1</f>
        <v>2009</v>
      </c>
      <c r="M26" s="295">
        <v>205.7</v>
      </c>
      <c r="N26" s="295">
        <v>206.708</v>
      </c>
      <c r="O26" s="295">
        <v>207.218</v>
      </c>
      <c r="P26" s="295">
        <v>207.925</v>
      </c>
      <c r="Q26" s="295">
        <v>208.774</v>
      </c>
      <c r="R26" s="295">
        <v>210.972</v>
      </c>
      <c r="S26" s="295">
        <v>210.526</v>
      </c>
      <c r="T26" s="295">
        <v>211.156</v>
      </c>
      <c r="U26" s="295">
        <v>211.322</v>
      </c>
      <c r="V26" s="295">
        <v>211.549</v>
      </c>
      <c r="W26" s="295">
        <v>212.003</v>
      </c>
      <c r="X26" s="295">
        <v>211.703</v>
      </c>
      <c r="Y26" s="296">
        <f>(SUM(S27:X27)+SUM(M26:R26))/12</f>
        <v>209.8395</v>
      </c>
    </row>
    <row r="27" ht="12.75" customHeight="1" spans="1:25" x14ac:dyDescent="0.25">
      <c r="A27" s="234">
        <f>A28+1</f>
        <v>2009</v>
      </c>
      <c r="B27" s="235">
        <f>SUM(U28, V28,W28,X28,M27,N27,O27,P27,Q27,R27,S27,T27)/12</f>
        <v>209.441666666667</v>
      </c>
      <c r="C27" s="236">
        <f>K27</f>
        <v>0.0392698274292453</v>
      </c>
      <c r="D27" s="237">
        <f>C27</f>
        <v>0.0392698274292453</v>
      </c>
      <c r="E27" s="172"/>
      <c r="F27" s="172">
        <f>F28*(1+$D27)</f>
        <v>1.10749321347515</v>
      </c>
      <c r="G27" s="172">
        <f>G28*(1+$D27)</f>
        <v>1.14111055069008</v>
      </c>
      <c r="H27" s="172">
        <f>H28*(1+$D27)</f>
        <v>1.16433423785908</v>
      </c>
      <c r="I27" s="172">
        <f>I28*(1+$D27)</f>
        <v>1.20778840087357</v>
      </c>
      <c r="J27" s="238">
        <f>J28+1</f>
        <v>2009</v>
      </c>
      <c r="K27" s="239">
        <f>(Y27-Y28)/Y28</f>
        <v>0.0392698274292453</v>
      </c>
      <c r="L27" s="240">
        <f>L28+1</f>
        <v>2008</v>
      </c>
      <c r="M27" s="295">
        <v>206.744</v>
      </c>
      <c r="N27" s="295">
        <v>207.254</v>
      </c>
      <c r="O27" s="295">
        <v>209.147</v>
      </c>
      <c r="P27" s="295">
        <v>210.698</v>
      </c>
      <c r="Q27" s="295">
        <v>212.788</v>
      </c>
      <c r="R27" s="295">
        <v>215.223</v>
      </c>
      <c r="S27" s="295">
        <v>216.304</v>
      </c>
      <c r="T27" s="295">
        <v>215.247</v>
      </c>
      <c r="U27" s="295">
        <v>214.935</v>
      </c>
      <c r="V27" s="295">
        <v>212.182</v>
      </c>
      <c r="W27" s="295">
        <v>207.296</v>
      </c>
      <c r="X27" s="295">
        <v>204.813</v>
      </c>
      <c r="Y27" s="296">
        <f>(SUM(S28:X28)+SUM(M27:R27))/12</f>
        <v>207.387333333333</v>
      </c>
    </row>
    <row r="28" ht="12.75" customHeight="1" spans="1:25" x14ac:dyDescent="0.25">
      <c r="A28" s="234">
        <f>A29+1</f>
        <v>2008</v>
      </c>
      <c r="B28" s="235">
        <f>SUM(U29, V29,W29,X29,M28,N28,O28,P28,Q28,R28,S28,T28)/12</f>
        <v>200.225916666667</v>
      </c>
      <c r="C28" s="236">
        <f>K28</f>
        <v>0.0247836692771859</v>
      </c>
      <c r="D28" s="237">
        <f>C28</f>
        <v>0.0247836692771859</v>
      </c>
      <c r="E28" s="172"/>
      <c r="F28" s="172">
        <f>F29*(1+$D28)</f>
        <v>1.0656454986427</v>
      </c>
      <c r="G28" s="172">
        <f>G29*(1+$D28)</f>
        <v>1.097992571874</v>
      </c>
      <c r="H28" s="172">
        <f>H29*(1+$D28)</f>
        <v>1.12033872929728</v>
      </c>
      <c r="I28" s="172">
        <f>I29*(1+$D28)</f>
        <v>1.16215093423926</v>
      </c>
      <c r="J28" s="238">
        <f>J29+1</f>
        <v>2008</v>
      </c>
      <c r="K28" s="239">
        <f>(Y28-Y29)/Y29</f>
        <v>0.0247836692771859</v>
      </c>
      <c r="L28" s="240">
        <f>L29+1</f>
        <v>2007</v>
      </c>
      <c r="M28" s="295">
        <v>197.559</v>
      </c>
      <c r="N28" s="295">
        <v>198.544</v>
      </c>
      <c r="O28" s="295">
        <v>200.612</v>
      </c>
      <c r="P28" s="295">
        <v>202.13</v>
      </c>
      <c r="Q28" s="295">
        <v>203.661</v>
      </c>
      <c r="R28" s="295">
        <v>203.906</v>
      </c>
      <c r="S28" s="295">
        <v>203.7</v>
      </c>
      <c r="T28" s="295">
        <v>203.199</v>
      </c>
      <c r="U28" s="295">
        <v>203.889</v>
      </c>
      <c r="V28" s="295">
        <v>204.338</v>
      </c>
      <c r="W28" s="295">
        <v>205.891</v>
      </c>
      <c r="X28" s="295">
        <v>205.777</v>
      </c>
      <c r="Y28" s="296">
        <f>(SUM(S29:X29)+SUM(M28:R28))/12</f>
        <v>199.551</v>
      </c>
    </row>
    <row r="29" ht="12.75" customHeight="1" spans="1:25" x14ac:dyDescent="0.25">
      <c r="A29" s="234">
        <f>A30+1</f>
        <v>2007</v>
      </c>
      <c r="B29" s="235">
        <f>SUM(U30, V30,W30,X30,M29,N29,O29,P29,Q29,R29,S29,T29)/12</f>
        <v>196.033333333333</v>
      </c>
      <c r="C29" s="236">
        <f>K29</f>
        <v>0.0398736148814027</v>
      </c>
      <c r="D29" s="237">
        <f>C29</f>
        <v>0.0398736148814027</v>
      </c>
      <c r="E29" s="172"/>
      <c r="F29" s="172">
        <f>F30*(1+$D29)</f>
        <v>1.0398736148814</v>
      </c>
      <c r="G29" s="172">
        <f>G30*(1+$D29)</f>
        <v>1.07143839699207</v>
      </c>
      <c r="H29" s="172">
        <f>H30*(1+$D29)</f>
        <v>1.09324412838028</v>
      </c>
      <c r="I29" s="172">
        <f>I30*(1+$D29)</f>
        <v>1.13404513467605</v>
      </c>
      <c r="J29" s="238">
        <f>J30+1</f>
        <v>2007</v>
      </c>
      <c r="K29" s="239">
        <f>(Y29-Y30)/Y30</f>
        <v>0.0398736148814027</v>
      </c>
      <c r="L29" s="240">
        <f>L30+1</f>
        <v>2006</v>
      </c>
      <c r="M29" s="297">
        <v>194</v>
      </c>
      <c r="N29" s="297">
        <v>194.2</v>
      </c>
      <c r="O29" s="297">
        <v>195.3</v>
      </c>
      <c r="P29" s="297">
        <v>197.2</v>
      </c>
      <c r="Q29" s="297">
        <v>198.2</v>
      </c>
      <c r="R29" s="297">
        <v>198.6</v>
      </c>
      <c r="S29" s="297">
        <v>199.2</v>
      </c>
      <c r="T29" s="297">
        <v>199.6</v>
      </c>
      <c r="U29" s="297">
        <v>198.4</v>
      </c>
      <c r="V29" s="297">
        <v>197</v>
      </c>
      <c r="W29" s="297">
        <v>196.8</v>
      </c>
      <c r="X29" s="297">
        <v>197.2</v>
      </c>
      <c r="Y29" s="296">
        <f>(SUM(S30:X30)+SUM(M29:R29))/12</f>
        <v>194.725</v>
      </c>
    </row>
    <row r="30" ht="12.75" customHeight="1" spans="1:25" x14ac:dyDescent="0.25">
      <c r="A30" s="234">
        <f>A31+1</f>
        <v>2006</v>
      </c>
      <c r="B30" s="235">
        <f>SUM(U31, V31,W31,X31,M30,N30,O30,P30,Q30,R30,S30,T30)/12</f>
        <v>188.358333333333</v>
      </c>
      <c r="C30" s="236">
        <f>K30</f>
        <v>0.0303544408271814</v>
      </c>
      <c r="D30" s="237">
        <f>C30</f>
        <v>0.0303544408271814</v>
      </c>
      <c r="E30" s="172"/>
      <c r="F30" s="256">
        <v>1</v>
      </c>
      <c r="G30" s="172">
        <f>G31*(1+$D30)</f>
        <v>1.03035444082718</v>
      </c>
      <c r="H30" s="172">
        <f>H31*(1+$D30)</f>
        <v>1.05132403855151</v>
      </c>
      <c r="I30" s="172">
        <f>I31*(1+$D30)</f>
        <v>1.09056054355739</v>
      </c>
      <c r="J30" s="238">
        <f>J31+1</f>
        <v>2006</v>
      </c>
      <c r="K30" s="239">
        <f>(Y30-Y31)/Y31</f>
        <v>0.0303544408271814</v>
      </c>
      <c r="L30" s="240">
        <f>L31+1</f>
        <v>2005</v>
      </c>
      <c r="M30" s="297">
        <v>186.3</v>
      </c>
      <c r="N30" s="297">
        <v>187.3</v>
      </c>
      <c r="O30" s="297">
        <v>188.6</v>
      </c>
      <c r="P30" s="297">
        <v>190.2</v>
      </c>
      <c r="Q30" s="297">
        <v>190</v>
      </c>
      <c r="R30" s="297">
        <v>190.1</v>
      </c>
      <c r="S30" s="297">
        <v>191</v>
      </c>
      <c r="T30" s="297">
        <v>192.1</v>
      </c>
      <c r="U30" s="297">
        <v>195</v>
      </c>
      <c r="V30" s="297">
        <v>195.2</v>
      </c>
      <c r="W30" s="297">
        <v>193.4</v>
      </c>
      <c r="X30" s="297">
        <v>192.5</v>
      </c>
      <c r="Y30" s="296">
        <f>(SUM(S31:X31)+SUM(M30:R30))/12</f>
        <v>187.258333333333</v>
      </c>
    </row>
    <row r="31" ht="12.75" customHeight="1" spans="1:25" x14ac:dyDescent="0.25">
      <c r="A31" s="234">
        <f>A32+1</f>
        <v>2005</v>
      </c>
      <c r="B31" s="235">
        <f>SUM(U32, V32,W32,X32,M31,N31,O31,P31,Q31,R31,S31,T31)/12</f>
        <v>182.575</v>
      </c>
      <c r="C31" s="236">
        <f>K31</f>
        <v>0.0203518293253486</v>
      </c>
      <c r="D31" s="237">
        <f>C31</f>
        <v>0.0203518293253486</v>
      </c>
      <c r="E31" s="172"/>
      <c r="F31" s="172"/>
      <c r="G31" s="256">
        <v>1</v>
      </c>
      <c r="H31" s="172">
        <f>H32*(1+$D31)</f>
        <v>1.02035182932535</v>
      </c>
      <c r="I31" s="172">
        <f>I32*(1+$D31)</f>
        <v>1.0584324193157</v>
      </c>
      <c r="J31" s="238">
        <f>J32+1</f>
        <v>2005</v>
      </c>
      <c r="K31" s="239">
        <f>(Y31-Y32)/Y32</f>
        <v>0.0203518293253486</v>
      </c>
      <c r="L31" s="240">
        <f>L32+1</f>
        <v>2004</v>
      </c>
      <c r="M31" s="297">
        <v>180.9</v>
      </c>
      <c r="N31" s="297">
        <v>181.9</v>
      </c>
      <c r="O31" s="297">
        <v>182.9</v>
      </c>
      <c r="P31" s="297">
        <v>183.5</v>
      </c>
      <c r="Q31" s="297">
        <v>184.7</v>
      </c>
      <c r="R31" s="297">
        <v>185.3</v>
      </c>
      <c r="S31" s="297">
        <v>184.9</v>
      </c>
      <c r="T31" s="297">
        <v>185</v>
      </c>
      <c r="U31" s="297">
        <v>185.4</v>
      </c>
      <c r="V31" s="297">
        <v>186.5</v>
      </c>
      <c r="W31" s="297">
        <v>186.8</v>
      </c>
      <c r="X31" s="297">
        <v>186</v>
      </c>
      <c r="Y31" s="296">
        <f>(SUM(S32:X32)+SUM(M31:R31))/12</f>
        <v>181.741666666667</v>
      </c>
    </row>
    <row r="32" ht="12.75" customHeight="1" spans="1:25" x14ac:dyDescent="0.25">
      <c r="A32" s="234">
        <f>A33+1</f>
        <v>2004</v>
      </c>
      <c r="B32" s="235">
        <f>SUM(U33, V33,W33,X33,M32,N32,O32,P32,Q32,R32,S32,T32)/12</f>
        <v>178.716666666667</v>
      </c>
      <c r="C32" s="236">
        <f>K32</f>
        <v>0.0216528846613451</v>
      </c>
      <c r="D32" s="237">
        <f>C32</f>
        <v>0.0216528846613451</v>
      </c>
      <c r="E32" s="172"/>
      <c r="F32" s="172"/>
      <c r="G32" s="172"/>
      <c r="H32" s="256">
        <v>1</v>
      </c>
      <c r="I32" s="172">
        <f>I33*(1+$D32)</f>
        <v>1.03732103858287</v>
      </c>
      <c r="J32" s="238">
        <f>J33+1</f>
        <v>2004</v>
      </c>
      <c r="K32" s="239">
        <f>(Y32-Y33)/Y33</f>
        <v>0.0216528846613451</v>
      </c>
      <c r="L32" s="240">
        <f>L33+1</f>
        <v>2003</v>
      </c>
      <c r="M32" s="297">
        <v>177.7</v>
      </c>
      <c r="N32" s="297">
        <v>179.2</v>
      </c>
      <c r="O32" s="297">
        <v>180.3</v>
      </c>
      <c r="P32" s="297">
        <v>179.8</v>
      </c>
      <c r="Q32" s="297">
        <v>179.4</v>
      </c>
      <c r="R32" s="297">
        <v>179.6</v>
      </c>
      <c r="S32" s="297">
        <v>179.6</v>
      </c>
      <c r="T32" s="297">
        <v>180.3</v>
      </c>
      <c r="U32" s="297">
        <v>181</v>
      </c>
      <c r="V32" s="297">
        <v>180.7</v>
      </c>
      <c r="W32" s="297">
        <v>180.2</v>
      </c>
      <c r="X32" s="297">
        <v>179.9</v>
      </c>
      <c r="Y32" s="296">
        <f>(SUM(S33:X33)+SUM(M32:R32))/12</f>
        <v>178.116666666667</v>
      </c>
    </row>
    <row r="33" ht="12.75" customHeight="1" spans="1:25" x14ac:dyDescent="0.25">
      <c r="A33" s="234">
        <f>A34+1</f>
        <v>2003</v>
      </c>
      <c r="B33" s="235">
        <f>SUM(U34, V34,W34,X34,M33,N33,O33,P33,Q33,R33,S33,T33)/12</f>
        <v>174.766666666667</v>
      </c>
      <c r="C33" s="236">
        <f>K33</f>
        <v>0.0153360834748847</v>
      </c>
      <c r="D33" s="237">
        <f>C33</f>
        <v>0.0153360834748847</v>
      </c>
      <c r="E33" s="172"/>
      <c r="F33" s="172"/>
      <c r="G33" s="172"/>
      <c r="H33" s="172"/>
      <c r="I33" s="172">
        <f>I34*(1+$D33)</f>
        <v>1.01533608347488</v>
      </c>
      <c r="J33" s="238">
        <f>J34+1</f>
        <v>2003</v>
      </c>
      <c r="K33" s="239">
        <f>(Y33-Y34)/Y34</f>
        <v>0.0153360834748847</v>
      </c>
      <c r="L33" s="240">
        <f>L34+1</f>
        <v>2002</v>
      </c>
      <c r="M33" s="297">
        <v>173.2</v>
      </c>
      <c r="N33" s="297">
        <v>173.7</v>
      </c>
      <c r="O33" s="297">
        <v>174.7</v>
      </c>
      <c r="P33" s="297">
        <v>175.8</v>
      </c>
      <c r="Q33" s="297">
        <v>175.8</v>
      </c>
      <c r="R33" s="297">
        <v>175.9</v>
      </c>
      <c r="S33" s="297">
        <v>176.1</v>
      </c>
      <c r="T33" s="297">
        <v>176.6</v>
      </c>
      <c r="U33" s="297">
        <v>177</v>
      </c>
      <c r="V33" s="297">
        <v>177.3</v>
      </c>
      <c r="W33" s="297">
        <v>177.4</v>
      </c>
      <c r="X33" s="297">
        <v>177</v>
      </c>
      <c r="Y33" s="296">
        <f>(SUM(S34:X34)+SUM(M33:R33))/12</f>
        <v>174.341666666667</v>
      </c>
    </row>
    <row r="34" ht="12.75" customHeight="1" spans="1:25" x14ac:dyDescent="0.25">
      <c r="A34" s="234">
        <f>A35+1</f>
        <v>2002</v>
      </c>
      <c r="B34" s="235">
        <f>SUM(U35, V35,W35,X35,M34,N34,O34,P34,Q34,R34,S34,T34)/12</f>
        <v>172.45</v>
      </c>
      <c r="C34" s="236">
        <f>K34</f>
        <v>0.0341798835575186</v>
      </c>
      <c r="D34" s="237">
        <f>C34</f>
        <v>0.0341798835575186</v>
      </c>
      <c r="E34" s="172"/>
      <c r="F34" s="172"/>
      <c r="G34" s="172"/>
      <c r="H34" s="172"/>
      <c r="I34" s="256">
        <v>1</v>
      </c>
      <c r="J34" s="238">
        <f>J35+1</f>
        <v>2002</v>
      </c>
      <c r="K34" s="239">
        <f>(Y34-Y35)/Y35</f>
        <v>0.0341798835575186</v>
      </c>
      <c r="L34" s="240">
        <f>L35+1</f>
        <v>2001</v>
      </c>
      <c r="M34" s="297">
        <v>171.7</v>
      </c>
      <c r="N34" s="297">
        <v>172.4</v>
      </c>
      <c r="O34" s="297">
        <v>172.6</v>
      </c>
      <c r="P34" s="297">
        <v>173.5</v>
      </c>
      <c r="Q34" s="297">
        <v>174.4</v>
      </c>
      <c r="R34" s="297">
        <v>174.6</v>
      </c>
      <c r="S34" s="297">
        <v>173.8</v>
      </c>
      <c r="T34" s="297">
        <v>173.8</v>
      </c>
      <c r="U34" s="297">
        <v>174.8</v>
      </c>
      <c r="V34" s="297">
        <v>174</v>
      </c>
      <c r="W34" s="297">
        <v>173.7</v>
      </c>
      <c r="X34" s="297">
        <v>172.9</v>
      </c>
      <c r="Y34" s="296">
        <f>(SUM(S35:X35)+SUM(M34:R34))/12</f>
        <v>171.708333333333</v>
      </c>
    </row>
    <row r="35" ht="12.75" customHeight="1" spans="1:25" x14ac:dyDescent="0.25">
      <c r="A35" s="234">
        <f>A36+1</f>
        <v>2001</v>
      </c>
      <c r="B35" s="235">
        <f>SUM(U36, V36,W36,X36,M35,N35,O35,P35,Q35,R35,S35,T35)/12</f>
        <v>167</v>
      </c>
      <c r="C35" s="236">
        <f>K35</f>
        <v>0</v>
      </c>
      <c r="D35" s="237">
        <f>C35</f>
        <v>0</v>
      </c>
      <c r="E35" s="172"/>
      <c r="F35" s="172"/>
      <c r="G35" s="172"/>
      <c r="H35" s="172"/>
      <c r="I35" s="172"/>
      <c r="J35" s="238">
        <v>2001</v>
      </c>
      <c r="K35" s="239"/>
      <c r="L35" s="240">
        <v>2000</v>
      </c>
      <c r="M35" s="298">
        <v>165.6</v>
      </c>
      <c r="N35" s="298">
        <v>166.5</v>
      </c>
      <c r="O35" s="298">
        <v>167.9</v>
      </c>
      <c r="P35" s="299">
        <v>168</v>
      </c>
      <c r="Q35" s="298">
        <v>168.2</v>
      </c>
      <c r="R35" s="298">
        <v>169.2</v>
      </c>
      <c r="S35" s="298">
        <v>169.4</v>
      </c>
      <c r="T35" s="298">
        <v>169.3</v>
      </c>
      <c r="U35" s="298">
        <v>170.4</v>
      </c>
      <c r="V35" s="298">
        <v>170.6</v>
      </c>
      <c r="W35" s="298">
        <v>170.9</v>
      </c>
      <c r="X35" s="298">
        <v>170.7</v>
      </c>
      <c r="Y35" s="296">
        <f>(SUM(S36:X36)+SUM(M35:R35))/12</f>
        <v>166.033333333333</v>
      </c>
    </row>
    <row r="36" ht="12" customHeight="1" spans="1:25" x14ac:dyDescent="0.25">
      <c r="A36" s="234">
        <v>2000</v>
      </c>
      <c r="B36" s="235"/>
      <c r="C36" s="236">
        <f>K36</f>
        <v>0</v>
      </c>
      <c r="D36" s="237">
        <f>C36</f>
        <v>0</v>
      </c>
      <c r="E36" s="172"/>
      <c r="F36" s="172"/>
      <c r="G36" s="172"/>
      <c r="H36" s="172"/>
      <c r="I36" s="172"/>
      <c r="J36" s="238">
        <v>2000</v>
      </c>
      <c r="K36" s="239"/>
      <c r="L36" s="240">
        <v>1999</v>
      </c>
      <c r="M36" s="299">
        <v>161</v>
      </c>
      <c r="N36" s="300">
        <v>161.1</v>
      </c>
      <c r="O36" s="298">
        <v>161.4</v>
      </c>
      <c r="P36" s="300">
        <v>162.7</v>
      </c>
      <c r="Q36" s="300">
        <v>162.8</v>
      </c>
      <c r="R36" s="300">
        <v>162.8</v>
      </c>
      <c r="S36" s="300">
        <v>163.3</v>
      </c>
      <c r="T36" s="300">
        <v>163.8</v>
      </c>
      <c r="U36" s="300">
        <v>164.7</v>
      </c>
      <c r="V36" s="300">
        <v>165</v>
      </c>
      <c r="W36" s="300">
        <v>165.1</v>
      </c>
      <c r="X36" s="301">
        <v>165.1</v>
      </c>
      <c r="Y36" s="302"/>
    </row>
    <row r="37" ht="12.75" customHeight="1" spans="1:25" x14ac:dyDescent="0.25">
      <c r="A37" s="20"/>
      <c r="B37" s="235"/>
      <c r="C37" s="260"/>
      <c r="D37" s="260"/>
      <c r="E37" s="260"/>
      <c r="F37" s="260"/>
      <c r="G37" s="260"/>
      <c r="H37" s="260"/>
      <c r="I37" s="260"/>
      <c r="J37" s="265" t="s">
        <v>446</v>
      </c>
      <c r="K37" s="20"/>
      <c r="L37" s="20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52"/>
    </row>
    <row r="38" ht="12.75" customHeight="1" spans="1:25" x14ac:dyDescent="0.25">
      <c r="A38" s="20"/>
      <c r="B38" s="235"/>
      <c r="C38" s="260"/>
      <c r="D38" s="260"/>
      <c r="E38" s="260"/>
      <c r="F38" s="260"/>
      <c r="G38" s="260"/>
      <c r="H38" s="260"/>
      <c r="I38" s="260"/>
      <c r="J38" s="265" t="s">
        <v>447</v>
      </c>
      <c r="K38" s="20"/>
      <c r="L38" s="20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52"/>
    </row>
    <row r="39" ht="12.75" customHeight="1" spans="10:10" x14ac:dyDescent="0.25">
      <c r="J39" s="265" t="s">
        <v>448</v>
      </c>
    </row>
    <row r="40" ht="12.75" customHeight="1" spans="10:10" x14ac:dyDescent="0.25">
      <c r="J40" s="265" t="s">
        <v>449</v>
      </c>
    </row>
    <row r="42" ht="45" customHeight="1" spans="1:9" x14ac:dyDescent="0.25">
      <c r="A42" s="181" t="s">
        <v>370</v>
      </c>
      <c r="G42" s="215" t="s">
        <v>371</v>
      </c>
      <c r="H42" s="215" t="s">
        <v>372</v>
      </c>
      <c r="I42" s="215" t="s">
        <v>373</v>
      </c>
    </row>
    <row r="43" ht="27.75" customHeight="1" spans="1:24" x14ac:dyDescent="0.25">
      <c r="A43" s="220" t="s">
        <v>161</v>
      </c>
      <c r="B43" s="207" t="s">
        <v>344</v>
      </c>
      <c r="C43" s="207" t="s">
        <v>345</v>
      </c>
      <c r="D43" s="207" t="s">
        <v>346</v>
      </c>
      <c r="E43" s="207"/>
      <c r="F43" s="207"/>
      <c r="G43" s="207" t="s">
        <v>374</v>
      </c>
      <c r="H43" s="207" t="s">
        <v>375</v>
      </c>
      <c r="I43" s="207" t="s">
        <v>376</v>
      </c>
      <c r="L43" s="20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</row>
    <row r="44" ht="12.75" customHeight="1" spans="1:24" x14ac:dyDescent="0.25">
      <c r="A44" s="224" t="s">
        <v>377</v>
      </c>
      <c r="B44" s="268">
        <f>SUM(S18, T18, U18, V18,W18,X18,M17,N17,O17,P17,Q17,R17)/12</f>
        <v>242.142666666667</v>
      </c>
      <c r="C44" s="269">
        <v>0.03</v>
      </c>
      <c r="D44" s="227">
        <f>C44</f>
        <v>0.03</v>
      </c>
      <c r="E44" s="227"/>
      <c r="F44" s="172"/>
      <c r="G44" s="227">
        <f>G45*(1+$D44)</f>
        <v>1.41053490294616</v>
      </c>
      <c r="H44" s="227">
        <f>H45*(1+$D44)</f>
        <v>1.45335090119231</v>
      </c>
      <c r="I44" s="227">
        <f>I45*(1+$D44)</f>
        <v>1.53827371046363</v>
      </c>
      <c r="J44" s="20"/>
      <c r="L44" s="20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3"/>
    </row>
    <row r="45" ht="12.75" customHeight="1" spans="1:24" x14ac:dyDescent="0.25">
      <c r="A45" s="224" t="s">
        <v>378</v>
      </c>
      <c r="B45" s="268">
        <f>SUM(S19, T19, U19, V19,W19,X19,M18,N18,O18,P18,Q18,R18)/12</f>
        <v>236.612333333333</v>
      </c>
      <c r="C45" s="269">
        <v>0.03</v>
      </c>
      <c r="D45" s="227">
        <f>C45</f>
        <v>0.03</v>
      </c>
      <c r="E45" s="227"/>
      <c r="F45" s="172"/>
      <c r="G45" s="227">
        <f>G46*(1+$D45)</f>
        <v>1.36945136208365</v>
      </c>
      <c r="H45" s="227">
        <f>H46*(1+$D45)</f>
        <v>1.41102029241972</v>
      </c>
      <c r="I45" s="227">
        <f>I46*(1+$D45)</f>
        <v>1.49346962180935</v>
      </c>
      <c r="J45" s="20"/>
      <c r="L45" s="20"/>
      <c r="M45" s="212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</row>
    <row r="46" ht="12.75" customHeight="1" spans="1:12" x14ac:dyDescent="0.25">
      <c r="A46" s="224" t="s">
        <v>379</v>
      </c>
      <c r="B46" s="268">
        <f>SUM(S20, T20, U20, V20,W20,X20,M19,N19,O19,P19,Q19,R19)/12</f>
        <v>232.676916666667</v>
      </c>
      <c r="C46" s="269">
        <v>0.03</v>
      </c>
      <c r="D46" s="227">
        <f>C46</f>
        <v>0.03</v>
      </c>
      <c r="E46" s="227"/>
      <c r="F46" s="172"/>
      <c r="G46" s="227">
        <f>G47*(1+$D46)</f>
        <v>1.32956442920742</v>
      </c>
      <c r="H46" s="227">
        <f>H47*(1+$D46)</f>
        <v>1.36992261399973</v>
      </c>
      <c r="I46" s="227">
        <f>I47*(1+$D46)</f>
        <v>1.44997050661102</v>
      </c>
      <c r="J46" s="20"/>
      <c r="L46" s="20"/>
    </row>
    <row r="47" ht="12.75" customHeight="1" spans="1:9" x14ac:dyDescent="0.25">
      <c r="A47" s="224" t="s">
        <v>380</v>
      </c>
      <c r="B47" s="268">
        <f>SUM(S21, T21, U21, V21,W21,X21,M20,N20,O20,P20,Q20,R20)/12</f>
        <v>232.034666666667</v>
      </c>
      <c r="C47" s="269">
        <v>0.03</v>
      </c>
      <c r="D47" s="227">
        <f>C47</f>
        <v>0.03</v>
      </c>
      <c r="E47" s="227"/>
      <c r="F47" s="172"/>
      <c r="G47" s="227">
        <f>G48*(1+$D47)</f>
        <v>1.29083925165769</v>
      </c>
      <c r="H47" s="227">
        <f>H48*(1+$D47)</f>
        <v>1.33002195533954</v>
      </c>
      <c r="I47" s="227">
        <f>I48*(1+$D47)</f>
        <v>1.40773835593303</v>
      </c>
    </row>
    <row r="48" ht="12.75" customHeight="1" spans="1:9" x14ac:dyDescent="0.25">
      <c r="A48" s="224" t="s">
        <v>381</v>
      </c>
      <c r="B48" s="268">
        <f>SUM(S22, T22, U22, V22,W22,X22,M21,N21,O21,P21,Q21,R21)/12</f>
        <v>231.237833333333</v>
      </c>
      <c r="C48" s="269">
        <v>0.03</v>
      </c>
      <c r="D48" s="227">
        <f>C48</f>
        <v>0.03</v>
      </c>
      <c r="E48" s="227"/>
      <c r="F48" s="172"/>
      <c r="G48" s="227">
        <f>G49*(1+$D48)</f>
        <v>1.25324199190067</v>
      </c>
      <c r="H48" s="227">
        <f>H49*(1+$D48)</f>
        <v>1.29128345178596</v>
      </c>
      <c r="I48" s="227">
        <f>I49*(1+$D48)</f>
        <v>1.36673626789614</v>
      </c>
    </row>
    <row r="49" ht="12.75" customHeight="1" spans="1:9" x14ac:dyDescent="0.25">
      <c r="A49" s="234" t="s">
        <v>382</v>
      </c>
      <c r="B49" s="235">
        <f>SUM(S23, T23, U23, V23,W23,X23,M22,N22,O22,P22,Q22,R22)/12</f>
        <v>227.844666666667</v>
      </c>
      <c r="C49" s="64">
        <f>(B49-B50)/B50</f>
        <v>0.0159515786039498</v>
      </c>
      <c r="D49" s="172">
        <f>C49</f>
        <v>0.0159515786039498</v>
      </c>
      <c r="E49" s="227"/>
      <c r="F49" s="172"/>
      <c r="G49" s="172">
        <f>G50*(1+$D49)</f>
        <v>1.21673979796182</v>
      </c>
      <c r="H49" s="172">
        <f>H50*(1+$D49)</f>
        <v>1.25367325416113</v>
      </c>
      <c r="I49" s="172">
        <f>I50*(1+$D49)</f>
        <v>1.32692841543315</v>
      </c>
    </row>
    <row r="50" ht="12.75" customHeight="1" spans="1:9" x14ac:dyDescent="0.25">
      <c r="A50" s="234" t="s">
        <v>383</v>
      </c>
      <c r="B50" s="235">
        <f>SUM(S24, T24, U24, V24,W24,X24,M23,N23,O23,P23,Q23,R23)/12</f>
        <v>224.26725</v>
      </c>
      <c r="C50" s="64">
        <f>(B50-B51)/B51</f>
        <v>0.0318166935176529</v>
      </c>
      <c r="D50" s="172">
        <f>C50</f>
        <v>0.0318166935176529</v>
      </c>
      <c r="E50" s="227"/>
      <c r="F50" s="172"/>
      <c r="G50" s="172">
        <f>G51*(1+$D50)</f>
        <v>1.19763561924258</v>
      </c>
      <c r="H50" s="172">
        <f>H51*(1+$D50)</f>
        <v>1.2339891787794</v>
      </c>
      <c r="I50" s="172">
        <f>I51*(1+$D50)</f>
        <v>1.30609415190488</v>
      </c>
    </row>
    <row r="51" ht="12.75" customHeight="1" spans="1:9" x14ac:dyDescent="0.25">
      <c r="A51" s="234" t="s">
        <v>384</v>
      </c>
      <c r="B51" s="235">
        <f>SUM(S25, T25, U25, V25,W25,X25,M24,N24,O24,P24,Q24,R24)/12</f>
        <v>217.351833333333</v>
      </c>
      <c r="C51" s="64">
        <f>(B51-B52)/B52</f>
        <v>0.0233068910008056</v>
      </c>
      <c r="D51" s="172">
        <f>C51</f>
        <v>0.0233068910008056</v>
      </c>
      <c r="E51" s="172"/>
      <c r="F51" s="172"/>
      <c r="G51" s="172">
        <f>G52*(1+$D51)</f>
        <v>1.16070579858484</v>
      </c>
      <c r="H51" s="172">
        <f>H52*(1+$D51)</f>
        <v>1.19593837406575</v>
      </c>
      <c r="I51" s="172">
        <f>I52*(1+$D51)</f>
        <v>1.2658199466149</v>
      </c>
    </row>
    <row r="52" ht="12.75" customHeight="1" spans="1:9" x14ac:dyDescent="0.25">
      <c r="A52" s="234" t="s">
        <v>385</v>
      </c>
      <c r="B52" s="235">
        <f>SUM(S26, T26, U26, V26,W26,X26,M25,N25,O25,P25,Q25,R25)/12</f>
        <v>212.401416666667</v>
      </c>
      <c r="C52" s="64">
        <f>(B52-B53)/B53</f>
        <v>0.0122089342886666</v>
      </c>
      <c r="D52" s="172">
        <f>C52</f>
        <v>0.0122089342886666</v>
      </c>
      <c r="E52" s="172"/>
      <c r="F52" s="172"/>
      <c r="G52" s="172">
        <f>G53*(1+$D52)</f>
        <v>1.13426950291487</v>
      </c>
      <c r="H52" s="172">
        <f>H53*(1+$D52)</f>
        <v>1.16869961942317</v>
      </c>
      <c r="I52" s="172">
        <f>I53*(1+$D52)</f>
        <v>1.23698956563941</v>
      </c>
    </row>
    <row r="53" ht="12.75" customHeight="1" spans="1:9" x14ac:dyDescent="0.25">
      <c r="A53" s="234" t="s">
        <v>386</v>
      </c>
      <c r="B53" s="235">
        <f>SUM(S27, T27, U27, V27,W27,X27,M26,N26,O26,P26,Q26,R26)/12</f>
        <v>209.8395</v>
      </c>
      <c r="C53" s="64">
        <f>(B53-B54)/B54</f>
        <v>0.0118240908316484</v>
      </c>
      <c r="D53" s="172">
        <f>C53</f>
        <v>0.0118240908316484</v>
      </c>
      <c r="E53" s="172"/>
      <c r="F53" s="172"/>
      <c r="G53" s="172">
        <f>G54*(1+$D53)</f>
        <v>1.12058831382671</v>
      </c>
      <c r="H53" s="172">
        <f>H54*(1+$D53)</f>
        <v>1.15460314549039</v>
      </c>
      <c r="I53" s="172">
        <f>I54*(1+$D53)</f>
        <v>1.22206940063092</v>
      </c>
    </row>
    <row r="54" ht="12.75" customHeight="1" spans="1:9" x14ac:dyDescent="0.25">
      <c r="A54" s="234" t="s">
        <v>387</v>
      </c>
      <c r="B54" s="235">
        <f>SUM(S28, T28, U28, V28,W28,X28,M27,N27,O27,P27,Q27,R27)/12</f>
        <v>207.387333333333</v>
      </c>
      <c r="C54" s="64">
        <f>(B54-B55)/B55</f>
        <v>0.0392698274292453</v>
      </c>
      <c r="D54" s="172">
        <f>C54</f>
        <v>0.0392698274292453</v>
      </c>
      <c r="E54" s="172"/>
      <c r="F54" s="172"/>
      <c r="G54" s="172">
        <f>G55*(1+$D54)</f>
        <v>1.10749321347515</v>
      </c>
      <c r="H54" s="172">
        <f>H55*(1+$D54)</f>
        <v>1.14111055069008</v>
      </c>
      <c r="I54" s="172">
        <f>I55*(1+$D54)</f>
        <v>1.20778840087357</v>
      </c>
    </row>
    <row r="55" ht="12.75" customHeight="1" spans="1:9" x14ac:dyDescent="0.25">
      <c r="A55" s="234" t="s">
        <v>388</v>
      </c>
      <c r="B55" s="235">
        <f>SUM(S29, T29, U29, V29,W29,X29,M28,N28,O28,P28,Q28,R28)/12</f>
        <v>199.551</v>
      </c>
      <c r="C55" s="64">
        <f>(B55-B56)/B56</f>
        <v>0.0247836692771859</v>
      </c>
      <c r="D55" s="172">
        <f>C55</f>
        <v>0.0247836692771859</v>
      </c>
      <c r="E55" s="172"/>
      <c r="F55" s="172"/>
      <c r="G55" s="172">
        <f>G56*(1+$D55)</f>
        <v>1.0656454986427</v>
      </c>
      <c r="H55" s="172">
        <f>H56*(1+$D55)</f>
        <v>1.097992571874</v>
      </c>
      <c r="I55" s="172">
        <f>I56*(1+$D55)</f>
        <v>1.16215093423926</v>
      </c>
    </row>
    <row r="56" ht="12.75" customHeight="1" spans="1:9" x14ac:dyDescent="0.25">
      <c r="A56" s="234" t="s">
        <v>389</v>
      </c>
      <c r="B56" s="235">
        <f>SUM(S30, T30, U30, V30,W30,X30,M29,N29,O29,P29,Q29,R29)/12</f>
        <v>194.725</v>
      </c>
      <c r="C56" s="64">
        <f>(B56-B57)/B57</f>
        <v>0.0398736148814027</v>
      </c>
      <c r="D56" s="172">
        <f>C56</f>
        <v>0.0398736148814027</v>
      </c>
      <c r="E56" s="172"/>
      <c r="F56" s="172"/>
      <c r="G56" s="172">
        <f>G57*(1+$D56)</f>
        <v>1.0398736148814</v>
      </c>
      <c r="H56" s="172">
        <f>H57*(1+$D56)</f>
        <v>1.07143839699207</v>
      </c>
      <c r="I56" s="172">
        <f>I57*(1+$D56)</f>
        <v>1.13404513467605</v>
      </c>
    </row>
    <row r="57" ht="12.75" customHeight="1" spans="1:9" x14ac:dyDescent="0.25">
      <c r="A57" s="234" t="s">
        <v>390</v>
      </c>
      <c r="B57" s="235">
        <f>SUM(S31, T31, U31, V31,W31,X31,M30,N30,O30,P30,Q30,R30)/12</f>
        <v>187.258333333333</v>
      </c>
      <c r="C57" s="64">
        <f>(B57-B58)/B58</f>
        <v>0.0303544408271814</v>
      </c>
      <c r="D57" s="172">
        <f>C57</f>
        <v>0.0303544408271814</v>
      </c>
      <c r="E57" s="172"/>
      <c r="F57" s="172"/>
      <c r="G57" s="257">
        <v>1</v>
      </c>
      <c r="H57" s="172">
        <f>H58*(1+$D57)</f>
        <v>1.03035444082718</v>
      </c>
      <c r="I57" s="172">
        <f>I58*(1+$D57)</f>
        <v>1.09056054355739</v>
      </c>
    </row>
    <row r="58" ht="12.75" customHeight="1" spans="1:9" x14ac:dyDescent="0.25">
      <c r="A58" s="234" t="s">
        <v>391</v>
      </c>
      <c r="B58" s="235">
        <f>SUM(S32, T32, U32, V32,W32,X32,M31,N31,O31,P31,Q31,R31)/12</f>
        <v>181.741666666667</v>
      </c>
      <c r="C58" s="64">
        <f>(B58-B59)/B59</f>
        <v>0.0203518293253486</v>
      </c>
      <c r="D58" s="172">
        <f>C58</f>
        <v>0.0203518293253486</v>
      </c>
      <c r="E58" s="172"/>
      <c r="F58" s="172"/>
      <c r="G58" s="172"/>
      <c r="H58" s="16">
        <v>1</v>
      </c>
      <c r="I58" s="172">
        <f>I59*(1+$D58)</f>
        <v>1.0584324193157</v>
      </c>
    </row>
    <row r="59" ht="12.75" customHeight="1" spans="1:9" x14ac:dyDescent="0.25">
      <c r="A59" s="234" t="s">
        <v>392</v>
      </c>
      <c r="B59" s="235">
        <f>SUM(S33, T33, U33, V33,W33,X33,M32,N32,O32,P32,Q32,R32)/12</f>
        <v>178.116666666667</v>
      </c>
      <c r="C59" s="64">
        <f>(B59-B60)/B60</f>
        <v>0.0216528846613451</v>
      </c>
      <c r="D59" s="172">
        <f>C59</f>
        <v>0.0216528846613451</v>
      </c>
      <c r="E59" s="172"/>
      <c r="F59" s="172"/>
      <c r="G59" s="172"/>
      <c r="H59" s="172"/>
      <c r="I59" s="172">
        <f>I60*(1+$D59)</f>
        <v>1.03732103858287</v>
      </c>
    </row>
    <row r="60" ht="12.75" customHeight="1" spans="1:9" x14ac:dyDescent="0.25">
      <c r="A60" s="234" t="s">
        <v>393</v>
      </c>
      <c r="B60" s="235">
        <f>SUM(S34, T34, U34, V34,W34,X34,M33,N33,O33,P33,Q33,R33)/12</f>
        <v>174.341666666667</v>
      </c>
      <c r="C60" s="64">
        <f>(B60-B61)/B61</f>
        <v>0.0153360834748847</v>
      </c>
      <c r="D60" s="172">
        <f>C60</f>
        <v>0.0153360834748847</v>
      </c>
      <c r="E60" s="172"/>
      <c r="F60" s="172"/>
      <c r="G60" s="257"/>
      <c r="H60" s="257"/>
      <c r="I60" s="172">
        <f>I61*(1+$D60)</f>
        <v>1.01533608347488</v>
      </c>
    </row>
    <row r="61" ht="12.75" customHeight="1" spans="1:9" x14ac:dyDescent="0.25">
      <c r="A61" s="234" t="s">
        <v>394</v>
      </c>
      <c r="B61" s="235">
        <f>SUM(S35, T35, U35, V35,W35,X35,M34,N34,O34,P34,Q34,R34)/12</f>
        <v>171.708333333333</v>
      </c>
      <c r="C61" s="64">
        <f>(B61-B62)/B62</f>
        <v>0.0341798835575186</v>
      </c>
      <c r="D61" s="172">
        <f>C61</f>
        <v>0.0341798835575186</v>
      </c>
      <c r="E61" s="172"/>
      <c r="F61" s="172"/>
      <c r="G61" s="172"/>
      <c r="H61" s="172"/>
      <c r="I61" s="16">
        <v>1</v>
      </c>
    </row>
    <row r="62" ht="12.75" customHeight="1" spans="1:8" x14ac:dyDescent="0.25">
      <c r="A62" s="234" t="s">
        <v>395</v>
      </c>
      <c r="B62" s="235">
        <f>SUM(S36, T36, U36, V36,W36,X36,M35,N35,O35,P35,Q35,R35)/12</f>
        <v>166.033333333333</v>
      </c>
      <c r="C62" s="64" t="e">
        <f>(B62-B63)/B63</f>
        <v>#NAME?</v>
      </c>
      <c r="D62" s="172" t="e">
        <f>C62</f>
        <v>#NAME?</v>
      </c>
      <c r="E62" s="172"/>
      <c r="F62" s="172"/>
      <c r="G62" s="172"/>
      <c r="H62" s="172"/>
    </row>
    <row r="63" ht="12.75" customHeight="1" spans="1:7" x14ac:dyDescent="0.25">
      <c r="A63" s="234" t="s">
        <v>396</v>
      </c>
      <c r="B63" s="235" t="e">
        <f>SUM(#ref!,#ref!,#ref!,#ref!,#ref!,#ref!, M36,N36,O36,P36,Q36,R36)/12</f>
        <v>#NAME?</v>
      </c>
      <c r="C63" s="64"/>
      <c r="D63" s="172"/>
      <c r="E63" s="172"/>
      <c r="F63" s="172"/>
      <c r="G63" s="172"/>
    </row>
  </sheetData>
  <pageMargins left="0.75" right="0.75" top="1" bottom="1" header="0.511811023622047" footer="0.511811023622047"/>
  <pageSetup paperSize="1" orientation="landscape" horizontalDpi="300" verticalDpi="300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zoomScale="110" zoomScaleNormal="110" view="normal">
      <selection activeCell="G9" sqref="G9"/>
    </sheetView>
  </sheetViews>
  <sheetFormatPr defaultRowHeight="12.75" outlineLevelRow="0" outlineLevelCol="0" x14ac:dyDescent="0" defaultColWidth="8.83203125" customHeight="1"/>
  <cols>
    <col min="1" max="1" width="32.67" style="18" customWidth="1"/>
    <col min="2" max="2" width="12.67" style="18" customWidth="1"/>
    <col min="3" max="7" width="12.67" style="15" customWidth="1"/>
    <col min="8" max="18" width="9.16" style="15" customWidth="1"/>
  </cols>
  <sheetData>
    <row r="1" ht="18" customHeight="1" spans="1:2" x14ac:dyDescent="0.25">
      <c r="A1" s="14" t="s">
        <v>450</v>
      </c>
      <c r="B1" s="14"/>
    </row>
    <row r="3" ht="13.5" customHeight="1" spans="2:6" x14ac:dyDescent="0.25">
      <c r="B3" s="55" t="s">
        <v>451</v>
      </c>
      <c r="C3" s="55" t="s">
        <v>452</v>
      </c>
      <c r="D3" s="55" t="s">
        <v>453</v>
      </c>
      <c r="E3" s="55" t="s">
        <v>454</v>
      </c>
      <c r="F3" s="55" t="s">
        <v>455</v>
      </c>
    </row>
    <row r="4" ht="12.75" customHeight="1" spans="1:6" x14ac:dyDescent="0.25">
      <c r="A4" s="18" t="s">
        <v>456</v>
      </c>
      <c r="B4" s="15" t="s">
        <v>457</v>
      </c>
      <c r="C4" s="15" t="s">
        <v>458</v>
      </c>
      <c r="D4" s="15" t="s">
        <v>459</v>
      </c>
      <c r="E4" s="15" t="s">
        <v>460</v>
      </c>
      <c r="F4" s="15" t="s">
        <v>461</v>
      </c>
    </row>
    <row r="5" ht="12.75" customHeight="1" spans="2:4" x14ac:dyDescent="0.25">
      <c r="B5" s="15" t="s">
        <v>462</v>
      </c>
      <c r="D5" s="15" t="s">
        <v>463</v>
      </c>
    </row>
    <row r="7" ht="12.75" customHeight="1" spans="1:7" x14ac:dyDescent="0.25">
      <c r="A7" s="18" t="s">
        <v>464</v>
      </c>
      <c r="B7" s="15" t="s">
        <v>465</v>
      </c>
      <c r="C7" s="15" t="s">
        <v>466</v>
      </c>
      <c r="D7" s="15" t="s">
        <v>467</v>
      </c>
      <c r="E7" s="15" t="s">
        <v>468</v>
      </c>
      <c r="F7" s="15" t="s">
        <v>469</v>
      </c>
      <c r="G7" s="15" t="s">
        <v>469</v>
      </c>
    </row>
    <row r="8" ht="12.75" customHeight="1" spans="1:7" x14ac:dyDescent="0.25">
      <c r="A8" s="18" t="s">
        <v>470</v>
      </c>
      <c r="B8" s="15" t="s">
        <v>466</v>
      </c>
      <c r="C8" s="15" t="s">
        <v>471</v>
      </c>
      <c r="D8" s="15" t="s">
        <v>468</v>
      </c>
      <c r="E8" s="15" t="s">
        <v>469</v>
      </c>
      <c r="F8" s="15" t="s">
        <v>472</v>
      </c>
      <c r="G8" s="15" t="s">
        <v>472</v>
      </c>
    </row>
    <row r="9" ht="12.75" customHeight="1" spans="1:7" x14ac:dyDescent="0.25">
      <c r="A9" s="18" t="s">
        <v>473</v>
      </c>
      <c r="B9" s="15" t="s">
        <v>474</v>
      </c>
      <c r="C9" s="15" t="s">
        <v>465</v>
      </c>
      <c r="D9" s="15" t="s">
        <v>471</v>
      </c>
      <c r="E9" s="15" t="s">
        <v>467</v>
      </c>
      <c r="F9" s="15" t="s">
        <v>468</v>
      </c>
      <c r="G9" s="15" t="s">
        <v>468</v>
      </c>
    </row>
    <row r="10" ht="12.75" customHeight="1" spans="1:2" x14ac:dyDescent="0.25">
      <c r="A10" s="112" t="s">
        <v>475</v>
      </c>
      <c r="B10" s="112"/>
    </row>
    <row r="12" ht="12.75" customHeight="1" spans="1:7" x14ac:dyDescent="0.25">
      <c r="A12" s="18" t="s">
        <v>476</v>
      </c>
      <c r="B12" s="15" t="s">
        <v>477</v>
      </c>
      <c r="C12" s="15" t="s">
        <v>478</v>
      </c>
      <c r="D12" s="15" t="s">
        <v>479</v>
      </c>
      <c r="E12" s="15" t="s">
        <v>480</v>
      </c>
      <c r="F12" s="15" t="s">
        <v>481</v>
      </c>
      <c r="G12" s="15" t="s">
        <v>481</v>
      </c>
    </row>
    <row r="13" ht="12.75" customHeight="1" spans="1:2" x14ac:dyDescent="0.25">
      <c r="A13" s="112" t="s">
        <v>482</v>
      </c>
      <c r="B13" s="112"/>
    </row>
    <row r="14" ht="12.75" customHeight="1" spans="1:2" x14ac:dyDescent="0.25">
      <c r="A14" s="112"/>
      <c r="B14" s="112"/>
    </row>
    <row r="15" ht="12.75" customHeight="1" spans="1:2" x14ac:dyDescent="0.25">
      <c r="A15" s="112"/>
      <c r="B15" s="112"/>
    </row>
    <row r="16" ht="12.75" customHeight="1" spans="1:1" x14ac:dyDescent="0.25">
      <c r="A16" s="18" t="s">
        <v>483</v>
      </c>
    </row>
    <row r="17" ht="12.75" customHeight="1" spans="1:1" x14ac:dyDescent="0.25">
      <c r="A17" s="18" t="s">
        <v>484</v>
      </c>
    </row>
    <row r="18" ht="12.75" customHeight="1" spans="1:7" x14ac:dyDescent="0.25">
      <c r="A18" s="18" t="s">
        <v>485</v>
      </c>
      <c r="B18" s="15" t="s">
        <v>486</v>
      </c>
      <c r="C18" s="15" t="s">
        <v>486</v>
      </c>
      <c r="D18" s="15" t="s">
        <v>486</v>
      </c>
      <c r="F18" s="15" t="s">
        <v>486</v>
      </c>
      <c r="G18" s="303">
        <v>0.9</v>
      </c>
    </row>
    <row r="19" ht="12.75" customHeight="1" spans="1:7" x14ac:dyDescent="0.25">
      <c r="A19" s="18" t="s">
        <v>487</v>
      </c>
      <c r="B19" s="15" t="s">
        <v>486</v>
      </c>
      <c r="C19" s="15" t="s">
        <v>486</v>
      </c>
      <c r="D19" s="15" t="s">
        <v>486</v>
      </c>
      <c r="F19" s="15" t="s">
        <v>486</v>
      </c>
      <c r="G19" s="303">
        <v>0.32</v>
      </c>
    </row>
    <row r="20" ht="12.75" customHeight="1" spans="1:7" x14ac:dyDescent="0.25">
      <c r="A20" s="18" t="s">
        <v>488</v>
      </c>
      <c r="B20" s="15" t="s">
        <v>486</v>
      </c>
      <c r="C20" s="15" t="s">
        <v>486</v>
      </c>
      <c r="D20" s="15" t="s">
        <v>486</v>
      </c>
      <c r="F20" s="15" t="s">
        <v>486</v>
      </c>
      <c r="G20" s="303">
        <v>0.15</v>
      </c>
    </row>
    <row r="21" ht="12.75" customHeight="1" spans="1:1" x14ac:dyDescent="0.25">
      <c r="A21" s="18" t="s">
        <v>489</v>
      </c>
    </row>
    <row r="22" ht="12.75" customHeight="1" spans="1:7" x14ac:dyDescent="0.25">
      <c r="A22" s="18" t="s">
        <v>490</v>
      </c>
      <c r="F22" s="15" t="s">
        <v>491</v>
      </c>
      <c r="G22" s="304" t="s">
        <v>492</v>
      </c>
    </row>
    <row r="23" ht="12.75" customHeight="1" spans="1:7" x14ac:dyDescent="0.25">
      <c r="A23" s="18" t="s">
        <v>493</v>
      </c>
      <c r="F23" s="15" t="s">
        <v>491</v>
      </c>
      <c r="G23" s="304" t="s">
        <v>494</v>
      </c>
    </row>
    <row r="24" ht="12.75" customHeight="1" spans="1:7" x14ac:dyDescent="0.25">
      <c r="A24" s="18" t="s">
        <v>495</v>
      </c>
      <c r="F24" s="15" t="s">
        <v>491</v>
      </c>
      <c r="G24" s="304" t="s">
        <v>496</v>
      </c>
    </row>
    <row r="25" ht="12.75" customHeight="1" spans="1:2" x14ac:dyDescent="0.25">
      <c r="A25" s="112" t="s">
        <v>497</v>
      </c>
      <c r="B25" s="112"/>
    </row>
    <row r="26" ht="12.75" customHeight="1" spans="1:2" x14ac:dyDescent="0.25">
      <c r="A26" s="112"/>
      <c r="B26" s="112"/>
    </row>
    <row r="27" ht="12.75" customHeight="1" spans="1:1" x14ac:dyDescent="0.25">
      <c r="A27" s="18" t="s">
        <v>498</v>
      </c>
    </row>
    <row r="28" ht="12.75" customHeight="1" spans="1:7" x14ac:dyDescent="0.25">
      <c r="A28" s="18" t="s">
        <v>485</v>
      </c>
      <c r="B28" s="15" t="s">
        <v>486</v>
      </c>
      <c r="C28" s="15" t="s">
        <v>486</v>
      </c>
      <c r="D28" s="15" t="s">
        <v>486</v>
      </c>
      <c r="F28" s="15" t="s">
        <v>486</v>
      </c>
      <c r="G28" s="303">
        <v>1.5</v>
      </c>
    </row>
    <row r="29" ht="12.75" customHeight="1" spans="1:7" x14ac:dyDescent="0.25">
      <c r="A29" s="18" t="s">
        <v>487</v>
      </c>
      <c r="B29" s="15" t="s">
        <v>486</v>
      </c>
      <c r="C29" s="15" t="s">
        <v>486</v>
      </c>
      <c r="D29" s="15" t="s">
        <v>486</v>
      </c>
      <c r="F29" s="15" t="s">
        <v>486</v>
      </c>
      <c r="G29" s="303">
        <v>2.72</v>
      </c>
    </row>
    <row r="30" ht="12.75" customHeight="1" spans="1:7" x14ac:dyDescent="0.25">
      <c r="A30" s="18" t="s">
        <v>488</v>
      </c>
      <c r="B30" s="15" t="s">
        <v>486</v>
      </c>
      <c r="C30" s="15" t="s">
        <v>486</v>
      </c>
      <c r="D30" s="15" t="s">
        <v>486</v>
      </c>
      <c r="F30" s="15" t="s">
        <v>486</v>
      </c>
      <c r="G30" s="303">
        <v>1.34</v>
      </c>
    </row>
    <row r="31" ht="12.75" customHeight="1" spans="1:7" x14ac:dyDescent="0.25">
      <c r="A31" s="18" t="s">
        <v>499</v>
      </c>
      <c r="B31" s="15" t="s">
        <v>486</v>
      </c>
      <c r="C31" s="15" t="s">
        <v>486</v>
      </c>
      <c r="D31" s="15" t="s">
        <v>486</v>
      </c>
      <c r="F31" s="15" t="s">
        <v>486</v>
      </c>
      <c r="G31" s="303">
        <v>1.75</v>
      </c>
    </row>
    <row r="32" ht="12.75" customHeight="1" spans="1:1" x14ac:dyDescent="0.25">
      <c r="A32" s="18" t="s">
        <v>500</v>
      </c>
    </row>
    <row r="33" ht="12.75" customHeight="1" spans="1:7" x14ac:dyDescent="0.25">
      <c r="A33" s="18" t="s">
        <v>501</v>
      </c>
      <c r="F33" s="15" t="s">
        <v>491</v>
      </c>
      <c r="G33" s="305" t="s">
        <v>502</v>
      </c>
    </row>
    <row r="34" ht="12.75" customHeight="1" spans="1:7" x14ac:dyDescent="0.25">
      <c r="A34" s="18" t="s">
        <v>503</v>
      </c>
      <c r="F34" s="15" t="s">
        <v>491</v>
      </c>
      <c r="G34" s="305" t="s">
        <v>504</v>
      </c>
    </row>
    <row r="35" ht="12.75" customHeight="1" spans="1:7" x14ac:dyDescent="0.25">
      <c r="A35" s="18" t="s">
        <v>505</v>
      </c>
      <c r="F35" s="15" t="s">
        <v>491</v>
      </c>
      <c r="G35" s="305" t="s">
        <v>506</v>
      </c>
    </row>
    <row r="36" ht="12.75" customHeight="1" spans="1:7" x14ac:dyDescent="0.25">
      <c r="A36" s="18" t="s">
        <v>507</v>
      </c>
      <c r="F36" s="15" t="s">
        <v>491</v>
      </c>
      <c r="G36" s="305" t="s">
        <v>508</v>
      </c>
    </row>
    <row r="37" ht="12.75" customHeight="1" spans="1:2" x14ac:dyDescent="0.25">
      <c r="A37" s="112" t="s">
        <v>497</v>
      </c>
      <c r="B37" s="112"/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4"/>
  <sheetViews>
    <sheetView workbookViewId="0" zoomScale="90" zoomScaleNormal="90" view="normal">
      <selection activeCell="C102" sqref="C102"/>
    </sheetView>
  </sheetViews>
  <sheetFormatPr defaultRowHeight="12.75" outlineLevelRow="0" outlineLevelCol="0" x14ac:dyDescent="0" defaultColWidth="8.83203125" customHeight="1"/>
  <cols>
    <col min="1" max="1" width="30.83" style="18" customWidth="1"/>
    <col min="2" max="3" width="12.67" style="18" customWidth="1"/>
    <col min="4" max="5" width="12.67" style="15" customWidth="1"/>
    <col min="6" max="6" width="11.67" style="15" customWidth="1"/>
    <col min="7" max="17" width="12.67" style="15" customWidth="1"/>
    <col min="18" max="18" width="9.16" style="15" customWidth="1"/>
  </cols>
  <sheetData>
    <row r="1" ht="18" customHeight="1" spans="1:3" x14ac:dyDescent="0.25">
      <c r="A1" s="14" t="s">
        <v>509</v>
      </c>
      <c r="B1" s="14"/>
      <c r="C1" s="14"/>
    </row>
    <row r="2" ht="12.75" customHeight="1" spans="1:3" x14ac:dyDescent="0.25">
      <c r="A2" s="15" t="s">
        <v>510</v>
      </c>
      <c r="B2" s="15"/>
      <c r="C2" s="15"/>
    </row>
    <row r="3" ht="12.75" customHeight="1" spans="1:3" x14ac:dyDescent="0.25">
      <c r="A3" s="15" t="s">
        <v>511</v>
      </c>
      <c r="B3" s="15"/>
      <c r="C3" s="15"/>
    </row>
    <row r="5" ht="12.75" customHeight="1" spans="1:11" x14ac:dyDescent="0.25">
      <c r="A5" s="18" t="s">
        <v>512</v>
      </c>
      <c r="B5" s="18">
        <v>1</v>
      </c>
      <c r="C5" s="18">
        <v>2</v>
      </c>
      <c r="D5" s="18">
        <v>3</v>
      </c>
      <c r="E5" s="18">
        <v>4</v>
      </c>
      <c r="F5" s="18">
        <v>5</v>
      </c>
      <c r="G5" s="18">
        <v>6</v>
      </c>
      <c r="H5" s="18">
        <v>7</v>
      </c>
      <c r="I5" s="18">
        <v>8</v>
      </c>
      <c r="J5" s="18">
        <v>9</v>
      </c>
      <c r="K5" s="18">
        <v>0</v>
      </c>
    </row>
    <row r="6" ht="12.75" customHeight="1" spans="1:11" x14ac:dyDescent="0.25">
      <c r="A6" s="18" t="s">
        <v>513</v>
      </c>
      <c r="B6" s="19">
        <v>0</v>
      </c>
      <c r="C6" s="19">
        <v>0.125</v>
      </c>
      <c r="D6" s="19">
        <v>0</v>
      </c>
      <c r="E6" s="19">
        <v>0.13</v>
      </c>
      <c r="F6" s="19">
        <v>0</v>
      </c>
      <c r="G6" s="19">
        <v>0</v>
      </c>
      <c r="H6" s="19">
        <v>0</v>
      </c>
      <c r="I6" s="19">
        <v>0</v>
      </c>
      <c r="J6" s="19">
        <v>0.07</v>
      </c>
      <c r="K6" s="19">
        <v>0</v>
      </c>
    </row>
    <row r="7" ht="12.75" customHeight="1" spans="1:11" x14ac:dyDescent="0.25">
      <c r="A7" s="18" t="s">
        <v>514</v>
      </c>
      <c r="B7" s="19">
        <v>0</v>
      </c>
      <c r="C7" s="19">
        <v>0</v>
      </c>
      <c r="D7" s="19">
        <v>0</v>
      </c>
      <c r="E7" s="19">
        <v>0</v>
      </c>
      <c r="F7" s="19">
        <v>0.07</v>
      </c>
      <c r="G7" s="19">
        <v>0</v>
      </c>
      <c r="H7" s="19">
        <v>0</v>
      </c>
      <c r="I7" s="19">
        <v>0.13</v>
      </c>
      <c r="J7" s="19">
        <v>0</v>
      </c>
      <c r="K7" s="19">
        <v>0.15</v>
      </c>
    </row>
    <row r="8" ht="12.75" customHeight="1" spans="1:11" x14ac:dyDescent="0.25">
      <c r="A8" s="18" t="s">
        <v>515</v>
      </c>
      <c r="B8" s="19">
        <v>0.1</v>
      </c>
      <c r="C8" s="19">
        <v>0.2</v>
      </c>
      <c r="D8" s="19">
        <v>0</v>
      </c>
      <c r="E8" s="19">
        <v>0.11</v>
      </c>
      <c r="F8" s="19">
        <v>0.08</v>
      </c>
      <c r="G8" s="19">
        <v>0.064</v>
      </c>
      <c r="H8" s="19">
        <v>0.059</v>
      </c>
      <c r="I8" s="19">
        <v>0.065</v>
      </c>
      <c r="J8" s="19">
        <v>0.099</v>
      </c>
      <c r="K8" s="19">
        <v>0.143</v>
      </c>
    </row>
    <row r="9" ht="12.75" customHeight="1" spans="1:11" x14ac:dyDescent="0.25">
      <c r="A9" s="18" t="s">
        <v>516</v>
      </c>
      <c r="B9" s="19">
        <v>0.112</v>
      </c>
      <c r="C9" s="19">
        <v>0.074</v>
      </c>
      <c r="D9" s="306">
        <v>0.035</v>
      </c>
      <c r="E9" s="19">
        <v>0.035</v>
      </c>
      <c r="F9" s="19">
        <v>0.031</v>
      </c>
      <c r="G9" s="19">
        <v>0.013</v>
      </c>
      <c r="H9" s="19">
        <v>0.042</v>
      </c>
      <c r="I9" s="19">
        <v>0.04</v>
      </c>
      <c r="J9" s="19">
        <v>0.047</v>
      </c>
      <c r="K9" s="19">
        <v>0.054</v>
      </c>
    </row>
    <row r="10" ht="12.75" customHeight="1" spans="1:11" x14ac:dyDescent="0.25">
      <c r="A10" s="18" t="s">
        <v>517</v>
      </c>
      <c r="B10" s="19">
        <v>0.037</v>
      </c>
      <c r="C10" s="19">
        <v>0.03</v>
      </c>
      <c r="D10" s="306">
        <v>0.026</v>
      </c>
      <c r="E10" s="19">
        <v>0.028</v>
      </c>
      <c r="F10" s="19">
        <v>0.026</v>
      </c>
      <c r="G10" s="19">
        <v>0.029</v>
      </c>
      <c r="H10" s="19">
        <v>0.021</v>
      </c>
      <c r="I10" s="19">
        <v>0.013</v>
      </c>
      <c r="J10" s="19">
        <v>0.025</v>
      </c>
      <c r="K10" s="19">
        <v>0.035</v>
      </c>
    </row>
    <row r="11" ht="12.75" customHeight="1" spans="1:11" x14ac:dyDescent="0.25">
      <c r="A11" s="18" t="s">
        <v>518</v>
      </c>
      <c r="B11" s="19">
        <v>0.026</v>
      </c>
      <c r="C11" s="19">
        <v>0.014</v>
      </c>
      <c r="D11" s="306">
        <v>0.021</v>
      </c>
      <c r="E11" s="19">
        <v>0.027</v>
      </c>
      <c r="F11" s="19">
        <v>0.041</v>
      </c>
      <c r="G11" s="19">
        <v>0.033</v>
      </c>
      <c r="H11" s="19">
        <v>0.023</v>
      </c>
      <c r="I11" s="19">
        <v>0.058</v>
      </c>
      <c r="J11" s="19">
        <v>0</v>
      </c>
      <c r="K11" s="307">
        <v>0</v>
      </c>
    </row>
    <row r="12" ht="12.75" customHeight="1" spans="1:11" x14ac:dyDescent="0.25">
      <c r="A12" s="18" t="s">
        <v>519</v>
      </c>
      <c r="B12" s="19">
        <v>0.036</v>
      </c>
      <c r="C12" s="19">
        <v>0.017</v>
      </c>
      <c r="D12" s="306">
        <v>0.015</v>
      </c>
      <c r="E12" s="306">
        <v>0.017</v>
      </c>
      <c r="F12" s="306">
        <v>0</v>
      </c>
      <c r="G12" s="306">
        <v>0.003</v>
      </c>
      <c r="H12" s="306">
        <v>0.02</v>
      </c>
      <c r="I12" s="306">
        <v>0.028</v>
      </c>
      <c r="J12" s="308">
        <v>0.016</v>
      </c>
      <c r="K12" s="308">
        <v>0.023</v>
      </c>
    </row>
    <row r="13" ht="12.75" customHeight="1" spans="1:11" x14ac:dyDescent="0.25">
      <c r="A13" s="18" t="s">
        <v>520</v>
      </c>
      <c r="B13" s="19"/>
      <c r="C13" s="19"/>
      <c r="D13" s="306"/>
      <c r="E13" s="306"/>
      <c r="F13" s="306"/>
      <c r="G13" s="306"/>
      <c r="H13" s="306"/>
      <c r="I13" s="306"/>
      <c r="J13" s="309"/>
      <c r="K13" s="309"/>
    </row>
    <row r="14" ht="12.75" customHeight="1" spans="1:11" x14ac:dyDescent="0.25">
      <c r="A14" s="15" t="s">
        <v>521</v>
      </c>
      <c r="B14" s="19"/>
      <c r="C14" s="19"/>
      <c r="D14" s="306"/>
      <c r="E14" s="19"/>
      <c r="F14" s="19"/>
      <c r="G14" s="19"/>
      <c r="H14" s="19"/>
      <c r="I14" s="19"/>
      <c r="J14" s="19"/>
      <c r="K14" s="19"/>
    </row>
    <row r="15" ht="12.75" customHeight="1" spans="1:11" x14ac:dyDescent="0.25">
      <c r="A15" s="15" t="s">
        <v>522</v>
      </c>
      <c r="B15" s="310"/>
      <c r="C15" s="310"/>
      <c r="D15" s="311"/>
      <c r="E15" s="310"/>
      <c r="F15" s="310"/>
      <c r="G15" s="310"/>
      <c r="H15" s="310"/>
      <c r="I15" s="310"/>
      <c r="J15" s="310"/>
      <c r="K15" s="310"/>
    </row>
    <row r="16" ht="12.75" customHeight="1" spans="1:11" x14ac:dyDescent="0.25">
      <c r="A16" s="312"/>
      <c r="B16" s="310"/>
      <c r="C16" s="310"/>
      <c r="D16" s="311"/>
      <c r="E16" s="310"/>
      <c r="F16" s="310"/>
      <c r="G16" s="310"/>
      <c r="H16" s="310"/>
      <c r="I16" s="310"/>
      <c r="J16" s="310"/>
      <c r="K16" s="310"/>
    </row>
    <row r="17" ht="12.75" customHeight="1" spans="1:11" x14ac:dyDescent="0.25">
      <c r="A17" s="18" t="s">
        <v>523</v>
      </c>
      <c r="B17" s="18">
        <v>1</v>
      </c>
      <c r="C17" s="18">
        <v>2</v>
      </c>
      <c r="D17" s="18">
        <v>3</v>
      </c>
      <c r="E17" s="18">
        <v>4</v>
      </c>
      <c r="F17" s="18">
        <v>5</v>
      </c>
      <c r="G17" s="18">
        <v>6</v>
      </c>
      <c r="H17" s="18">
        <v>7</v>
      </c>
      <c r="I17" s="18">
        <v>8</v>
      </c>
      <c r="J17" s="18">
        <v>9</v>
      </c>
      <c r="K17" s="18">
        <v>0</v>
      </c>
    </row>
    <row r="18" ht="12.75" customHeight="1" spans="1:11" x14ac:dyDescent="0.25">
      <c r="A18" s="18" t="s">
        <v>513</v>
      </c>
      <c r="B18" s="313">
        <v>2799.16</v>
      </c>
      <c r="C18" s="313">
        <v>2973.32</v>
      </c>
      <c r="D18" s="313">
        <v>3139.44</v>
      </c>
      <c r="E18" s="313">
        <v>3155.64</v>
      </c>
      <c r="F18" s="313">
        <v>3301.44</v>
      </c>
      <c r="G18" s="313">
        <v>3532.36</v>
      </c>
      <c r="H18" s="313">
        <v>3641.72</v>
      </c>
      <c r="I18" s="313">
        <v>3673.8</v>
      </c>
      <c r="J18" s="313">
        <v>3855.8</v>
      </c>
      <c r="K18" s="313">
        <v>4007.12</v>
      </c>
    </row>
    <row r="19" ht="12.75" customHeight="1" spans="1:11" x14ac:dyDescent="0.25">
      <c r="A19" s="18" t="s">
        <v>514</v>
      </c>
      <c r="B19" s="313">
        <v>4086.76</v>
      </c>
      <c r="C19" s="313">
        <v>4291.4</v>
      </c>
      <c r="D19" s="313">
        <v>4396.64</v>
      </c>
      <c r="E19" s="313">
        <v>4576.32</v>
      </c>
      <c r="F19" s="313">
        <v>4658.72</v>
      </c>
      <c r="G19" s="313">
        <v>4938.36</v>
      </c>
      <c r="H19" s="313">
        <v>5213.44</v>
      </c>
      <c r="I19" s="313">
        <v>5571.76</v>
      </c>
      <c r="J19" s="313">
        <v>5893.76</v>
      </c>
      <c r="K19" s="313">
        <v>6186.24</v>
      </c>
    </row>
    <row r="20" ht="12.75" customHeight="1" spans="1:11" x14ac:dyDescent="0.25">
      <c r="A20" s="18" t="s">
        <v>515</v>
      </c>
      <c r="B20" s="313">
        <v>6497.08</v>
      </c>
      <c r="C20" s="313">
        <v>7133.8</v>
      </c>
      <c r="D20" s="313">
        <v>7580.16</v>
      </c>
      <c r="E20" s="313">
        <v>8030.76</v>
      </c>
      <c r="F20" s="313">
        <v>8630.92</v>
      </c>
      <c r="G20" s="313">
        <v>9226.48</v>
      </c>
      <c r="H20" s="313">
        <v>9779.44</v>
      </c>
      <c r="I20" s="313">
        <v>10556.03</v>
      </c>
      <c r="J20" s="313">
        <v>11479.46</v>
      </c>
      <c r="K20" s="313">
        <v>12513.46</v>
      </c>
    </row>
    <row r="21" ht="12.75" customHeight="1" spans="1:11" x14ac:dyDescent="0.25">
      <c r="A21" s="18" t="s">
        <v>516</v>
      </c>
      <c r="B21" s="313">
        <v>13773.1</v>
      </c>
      <c r="C21" s="313">
        <v>14531.34</v>
      </c>
      <c r="D21" s="313">
        <v>15239.24</v>
      </c>
      <c r="E21" s="313">
        <v>16135.07</v>
      </c>
      <c r="F21" s="313">
        <v>16822.51</v>
      </c>
      <c r="G21" s="313">
        <v>17321.82</v>
      </c>
      <c r="H21" s="313">
        <v>18426.51</v>
      </c>
      <c r="I21" s="313">
        <v>19334.04</v>
      </c>
      <c r="J21" s="313">
        <v>20099.55</v>
      </c>
      <c r="K21" s="313">
        <v>21027.98</v>
      </c>
    </row>
    <row r="22" ht="12.75" customHeight="1" spans="1:11" x14ac:dyDescent="0.25">
      <c r="A22" s="18" t="s">
        <v>517</v>
      </c>
      <c r="B22" s="313">
        <v>21811.6</v>
      </c>
      <c r="C22" s="313">
        <v>22935.42</v>
      </c>
      <c r="D22" s="313">
        <v>23132.67</v>
      </c>
      <c r="E22" s="313">
        <v>23753.53</v>
      </c>
      <c r="F22" s="313">
        <v>24705.66</v>
      </c>
      <c r="G22" s="313">
        <v>25913.9</v>
      </c>
      <c r="H22" s="313">
        <v>27426</v>
      </c>
      <c r="I22" s="313">
        <v>28861.44</v>
      </c>
      <c r="J22" s="313">
        <v>30469.84</v>
      </c>
      <c r="K22" s="313">
        <v>32154.82</v>
      </c>
    </row>
    <row r="23" ht="12.75" customHeight="1" spans="1:11" x14ac:dyDescent="0.25">
      <c r="A23" s="18" t="s">
        <v>518</v>
      </c>
      <c r="B23" s="313">
        <v>32921.92</v>
      </c>
      <c r="C23" s="313">
        <v>33252.09</v>
      </c>
      <c r="D23" s="314">
        <v>34064.95</v>
      </c>
      <c r="E23" s="313">
        <v>35648.55</v>
      </c>
      <c r="F23" s="313">
        <v>36952.94</v>
      </c>
      <c r="G23" s="313">
        <v>38651.41</v>
      </c>
      <c r="H23" s="313">
        <v>40405.48</v>
      </c>
      <c r="I23" s="313">
        <v>41334.97</v>
      </c>
      <c r="J23" s="313">
        <v>40711.61</v>
      </c>
      <c r="K23" s="313">
        <v>41673.83</v>
      </c>
    </row>
    <row r="24" ht="12.75" customHeight="1" spans="1:12" x14ac:dyDescent="0.25">
      <c r="A24" s="18" t="s">
        <v>519</v>
      </c>
      <c r="B24" s="313">
        <v>42979.61</v>
      </c>
      <c r="C24" s="313">
        <v>44321.67</v>
      </c>
      <c r="D24" s="313">
        <v>44888.16</v>
      </c>
      <c r="E24" s="313">
        <v>46481.52</v>
      </c>
      <c r="F24" s="313">
        <v>48098.63</v>
      </c>
      <c r="G24" s="313">
        <v>48642.15</v>
      </c>
      <c r="H24" s="313">
        <v>50321.89</v>
      </c>
      <c r="I24" s="315">
        <v>52145.8</v>
      </c>
      <c r="J24" s="315">
        <v>53756.28</v>
      </c>
      <c r="K24" s="315">
        <v>55641.66</v>
      </c>
      <c r="L24" s="316"/>
    </row>
    <row r="25" ht="12.75" customHeight="1" spans="1:12" x14ac:dyDescent="0.25">
      <c r="A25" s="18" t="s">
        <v>520</v>
      </c>
      <c r="B25" s="313">
        <v>0</v>
      </c>
      <c r="C25" s="313"/>
      <c r="D25" s="313"/>
      <c r="E25" s="313"/>
      <c r="F25" s="313"/>
      <c r="G25" s="313"/>
      <c r="H25" s="313"/>
      <c r="I25" s="315"/>
      <c r="J25" s="315"/>
      <c r="K25" s="315"/>
      <c r="L25" s="316"/>
    </row>
    <row r="26" ht="12.75" customHeight="1" spans="1:11" x14ac:dyDescent="0.25">
      <c r="A26" s="15" t="s">
        <v>521</v>
      </c>
      <c r="B26" s="313"/>
      <c r="C26" s="313"/>
      <c r="D26" s="313"/>
      <c r="E26" s="46"/>
      <c r="F26" s="46"/>
      <c r="G26" s="46"/>
      <c r="H26" s="46"/>
      <c r="I26" s="46"/>
      <c r="J26" s="46"/>
      <c r="K26" s="46"/>
    </row>
    <row r="27" ht="12.75" customHeight="1" spans="1:11" x14ac:dyDescent="0.25">
      <c r="A27" s="15" t="s">
        <v>524</v>
      </c>
      <c r="B27" s="313"/>
      <c r="C27" s="313"/>
      <c r="D27" s="313"/>
      <c r="E27" s="46"/>
      <c r="F27" s="46"/>
      <c r="G27" s="46"/>
      <c r="H27" s="46"/>
      <c r="I27" s="46"/>
      <c r="J27" s="46"/>
      <c r="K27" s="46"/>
    </row>
    <row r="28" ht="12.75" customHeight="1" spans="2:3" x14ac:dyDescent="0.25">
      <c r="B28" s="15"/>
      <c r="C28" s="15"/>
    </row>
    <row r="29" ht="12.75" customHeight="1" spans="1:11" x14ac:dyDescent="0.25">
      <c r="A29" s="18" t="s">
        <v>525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>
        <v>7</v>
      </c>
      <c r="I29" s="18">
        <v>8</v>
      </c>
      <c r="J29" s="18">
        <v>9</v>
      </c>
      <c r="K29" s="18">
        <v>0</v>
      </c>
    </row>
    <row r="30" ht="12.75" customHeight="1" spans="1:11" x14ac:dyDescent="0.25">
      <c r="A30" s="18" t="s">
        <v>513</v>
      </c>
      <c r="B30" s="128">
        <v>3600</v>
      </c>
      <c r="C30" s="128">
        <v>3600</v>
      </c>
      <c r="D30" s="128">
        <v>3600</v>
      </c>
      <c r="E30" s="128">
        <v>3600</v>
      </c>
      <c r="F30" s="128">
        <v>4200</v>
      </c>
      <c r="G30" s="128">
        <v>4200</v>
      </c>
      <c r="H30" s="128">
        <v>4200</v>
      </c>
      <c r="I30" s="128">
        <v>4200</v>
      </c>
      <c r="J30" s="128">
        <v>4800</v>
      </c>
      <c r="K30" s="128">
        <v>4800</v>
      </c>
    </row>
    <row r="31" ht="12.75" customHeight="1" spans="1:11" x14ac:dyDescent="0.25">
      <c r="A31" s="18" t="s">
        <v>514</v>
      </c>
      <c r="B31" s="128">
        <v>4800</v>
      </c>
      <c r="C31" s="128">
        <v>4800</v>
      </c>
      <c r="D31" s="128">
        <v>4800</v>
      </c>
      <c r="E31" s="128">
        <v>4800</v>
      </c>
      <c r="F31" s="128">
        <v>4800</v>
      </c>
      <c r="G31" s="128">
        <v>6600</v>
      </c>
      <c r="H31" s="128">
        <v>6600</v>
      </c>
      <c r="I31" s="128">
        <v>7800</v>
      </c>
      <c r="J31" s="128">
        <v>7800</v>
      </c>
      <c r="K31" s="128">
        <v>7800</v>
      </c>
    </row>
    <row r="32" ht="12.75" customHeight="1" spans="1:11" x14ac:dyDescent="0.25">
      <c r="A32" s="18" t="s">
        <v>515</v>
      </c>
      <c r="B32" s="128">
        <v>7800</v>
      </c>
      <c r="C32" s="128">
        <v>9000</v>
      </c>
      <c r="D32" s="128">
        <v>10800</v>
      </c>
      <c r="E32" s="128">
        <v>13200</v>
      </c>
      <c r="F32" s="128">
        <v>14100</v>
      </c>
      <c r="G32" s="128">
        <v>15300</v>
      </c>
      <c r="H32" s="128">
        <v>16500</v>
      </c>
      <c r="I32" s="128">
        <v>17700</v>
      </c>
      <c r="J32" s="128">
        <v>22900</v>
      </c>
      <c r="K32" s="128">
        <v>25900</v>
      </c>
    </row>
    <row r="33" ht="12.75" customHeight="1" spans="1:11" x14ac:dyDescent="0.25">
      <c r="A33" s="18" t="s">
        <v>516</v>
      </c>
      <c r="B33" s="128">
        <v>29700</v>
      </c>
      <c r="C33" s="128">
        <v>32400</v>
      </c>
      <c r="D33" s="128">
        <v>35700</v>
      </c>
      <c r="E33" s="128">
        <v>37800</v>
      </c>
      <c r="F33" s="128">
        <v>39600</v>
      </c>
      <c r="G33" s="128">
        <v>42000</v>
      </c>
      <c r="H33" s="128">
        <v>43800</v>
      </c>
      <c r="I33" s="128">
        <v>45000</v>
      </c>
      <c r="J33" s="128">
        <v>48000</v>
      </c>
      <c r="K33" s="128">
        <v>51300</v>
      </c>
    </row>
    <row r="34" ht="12.75" customHeight="1" spans="1:11" x14ac:dyDescent="0.25">
      <c r="A34" s="18" t="s">
        <v>517</v>
      </c>
      <c r="B34" s="128">
        <v>53400</v>
      </c>
      <c r="C34" s="128">
        <v>55500</v>
      </c>
      <c r="D34" s="128">
        <v>57600</v>
      </c>
      <c r="E34" s="128">
        <v>60600</v>
      </c>
      <c r="F34" s="128">
        <v>61200</v>
      </c>
      <c r="G34" s="128">
        <v>62700</v>
      </c>
      <c r="H34" s="128">
        <v>65400</v>
      </c>
      <c r="I34" s="128">
        <v>68400</v>
      </c>
      <c r="J34" s="128">
        <v>72600</v>
      </c>
      <c r="K34" s="128">
        <v>76200</v>
      </c>
    </row>
    <row r="35" ht="12.75" customHeight="1" spans="1:11" x14ac:dyDescent="0.25">
      <c r="A35" s="18" t="s">
        <v>518</v>
      </c>
      <c r="B35" s="128">
        <v>80400</v>
      </c>
      <c r="C35" s="128">
        <v>84900</v>
      </c>
      <c r="D35" s="129">
        <v>87000</v>
      </c>
      <c r="E35" s="128">
        <v>87900</v>
      </c>
      <c r="F35" s="128">
        <v>90000</v>
      </c>
      <c r="G35" s="128">
        <v>94200</v>
      </c>
      <c r="H35" s="128">
        <v>97500</v>
      </c>
      <c r="I35" s="128">
        <v>102000</v>
      </c>
      <c r="J35" s="128">
        <v>106800</v>
      </c>
      <c r="K35" s="128">
        <v>106800</v>
      </c>
    </row>
    <row r="36" ht="12.75" customHeight="1" spans="1:12" x14ac:dyDescent="0.25">
      <c r="A36" s="18" t="s">
        <v>519</v>
      </c>
      <c r="B36" s="128">
        <v>106800</v>
      </c>
      <c r="C36" s="128">
        <v>110100</v>
      </c>
      <c r="D36" s="128">
        <v>113700</v>
      </c>
      <c r="E36" s="128">
        <v>117000</v>
      </c>
      <c r="F36" s="128">
        <v>118500</v>
      </c>
      <c r="G36" s="128">
        <v>118500</v>
      </c>
      <c r="H36" s="128">
        <v>127200</v>
      </c>
      <c r="I36" s="128">
        <v>128400</v>
      </c>
      <c r="J36" s="128">
        <v>132900</v>
      </c>
      <c r="K36" s="128">
        <v>137700</v>
      </c>
      <c r="L36" s="27"/>
    </row>
    <row r="37" ht="12.75" customHeight="1" spans="1:12" x14ac:dyDescent="0.25">
      <c r="A37" s="18" t="s">
        <v>520</v>
      </c>
      <c r="B37" s="317">
        <v>142800</v>
      </c>
      <c r="C37" s="128"/>
      <c r="D37" s="128"/>
      <c r="E37" s="128"/>
      <c r="F37" s="128"/>
      <c r="G37" s="128"/>
      <c r="H37" s="128"/>
      <c r="I37" s="128"/>
      <c r="J37" s="317"/>
      <c r="K37" s="317"/>
      <c r="L37" s="27" t="s">
        <v>526</v>
      </c>
    </row>
    <row r="38" ht="12.75" customHeight="1" spans="1:5" x14ac:dyDescent="0.25">
      <c r="A38" s="15" t="s">
        <v>521</v>
      </c>
      <c r="B38" s="313"/>
      <c r="C38" s="313"/>
      <c r="D38" s="313"/>
      <c r="E38" s="313"/>
    </row>
    <row r="39" ht="12.75" customHeight="1" spans="1:5" x14ac:dyDescent="0.25">
      <c r="A39" s="15" t="s">
        <v>527</v>
      </c>
      <c r="B39" s="313"/>
      <c r="C39" s="313"/>
      <c r="D39" s="313"/>
      <c r="E39" s="313"/>
    </row>
    <row r="40" ht="12.75" customHeight="1" spans="2:3" x14ac:dyDescent="0.25">
      <c r="B40" s="15"/>
      <c r="C40" s="15"/>
    </row>
    <row r="41" ht="27.75" customHeight="1" spans="1:11" x14ac:dyDescent="0.25">
      <c r="A41" s="55" t="s">
        <v>528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>
        <v>7</v>
      </c>
      <c r="I41" s="18">
        <v>8</v>
      </c>
      <c r="J41" s="18">
        <v>9</v>
      </c>
      <c r="K41" s="18">
        <v>0</v>
      </c>
    </row>
    <row r="42" ht="12.75" customHeight="1" spans="1:11" x14ac:dyDescent="0.25">
      <c r="A42" s="18" t="s">
        <v>513</v>
      </c>
      <c r="B42" s="128">
        <v>200</v>
      </c>
      <c r="C42" s="128">
        <v>200</v>
      </c>
      <c r="D42" s="128">
        <v>200</v>
      </c>
      <c r="E42" s="128">
        <v>200</v>
      </c>
      <c r="F42" s="128">
        <v>200</v>
      </c>
      <c r="G42" s="128">
        <v>200</v>
      </c>
      <c r="H42" s="128">
        <v>200</v>
      </c>
      <c r="I42" s="128">
        <v>200</v>
      </c>
      <c r="J42" s="128">
        <v>200</v>
      </c>
      <c r="K42" s="128">
        <v>200</v>
      </c>
    </row>
    <row r="43" ht="12.75" customHeight="1" spans="1:11" x14ac:dyDescent="0.25">
      <c r="A43" s="18" t="s">
        <v>514</v>
      </c>
      <c r="B43" s="128">
        <v>200</v>
      </c>
      <c r="C43" s="128">
        <v>200</v>
      </c>
      <c r="D43" s="128">
        <v>200</v>
      </c>
      <c r="E43" s="128">
        <v>200</v>
      </c>
      <c r="F43" s="128">
        <v>200</v>
      </c>
      <c r="G43" s="128">
        <v>200</v>
      </c>
      <c r="H43" s="128">
        <v>200</v>
      </c>
      <c r="I43" s="128">
        <v>200</v>
      </c>
      <c r="J43" s="128">
        <v>200</v>
      </c>
      <c r="K43" s="128">
        <v>200</v>
      </c>
    </row>
    <row r="44" ht="12.75" customHeight="1" spans="1:11" x14ac:dyDescent="0.25">
      <c r="A44" s="18" t="s">
        <v>515</v>
      </c>
      <c r="B44" s="128">
        <v>200</v>
      </c>
      <c r="C44" s="128">
        <v>200</v>
      </c>
      <c r="D44" s="128">
        <v>200</v>
      </c>
      <c r="E44" s="128">
        <v>200</v>
      </c>
      <c r="F44" s="128">
        <v>200</v>
      </c>
      <c r="G44" s="128">
        <v>200</v>
      </c>
      <c r="H44" s="128">
        <v>200</v>
      </c>
      <c r="I44" s="128">
        <v>250</v>
      </c>
      <c r="J44" s="128">
        <v>260</v>
      </c>
      <c r="K44" s="128">
        <v>290</v>
      </c>
    </row>
    <row r="45" ht="12.75" customHeight="1" spans="1:11" x14ac:dyDescent="0.25">
      <c r="A45" s="18" t="s">
        <v>516</v>
      </c>
      <c r="B45" s="128">
        <v>310</v>
      </c>
      <c r="C45" s="128">
        <v>340</v>
      </c>
      <c r="D45" s="128">
        <v>370</v>
      </c>
      <c r="E45" s="128">
        <v>390</v>
      </c>
      <c r="F45" s="128">
        <v>410</v>
      </c>
      <c r="G45" s="128">
        <v>440</v>
      </c>
      <c r="H45" s="128">
        <v>460</v>
      </c>
      <c r="I45" s="128">
        <v>470</v>
      </c>
      <c r="J45" s="128">
        <v>500</v>
      </c>
      <c r="K45" s="128">
        <v>520</v>
      </c>
    </row>
    <row r="46" ht="12.75" customHeight="1" spans="1:11" x14ac:dyDescent="0.25">
      <c r="A46" s="18" t="s">
        <v>517</v>
      </c>
      <c r="B46" s="128">
        <v>540</v>
      </c>
      <c r="C46" s="128">
        <v>570</v>
      </c>
      <c r="D46" s="128">
        <v>590</v>
      </c>
      <c r="E46" s="128">
        <v>620</v>
      </c>
      <c r="F46" s="128">
        <v>630</v>
      </c>
      <c r="G46" s="128">
        <v>640</v>
      </c>
      <c r="H46" s="128">
        <v>670</v>
      </c>
      <c r="I46" s="128">
        <v>700</v>
      </c>
      <c r="J46" s="128">
        <v>740</v>
      </c>
      <c r="K46" s="128">
        <v>780</v>
      </c>
    </row>
    <row r="47" ht="12.75" customHeight="1" spans="1:11" x14ac:dyDescent="0.25">
      <c r="A47" s="18" t="s">
        <v>518</v>
      </c>
      <c r="B47" s="128">
        <v>830</v>
      </c>
      <c r="C47" s="128">
        <v>870</v>
      </c>
      <c r="D47" s="129">
        <v>890</v>
      </c>
      <c r="E47" s="128">
        <v>900</v>
      </c>
      <c r="F47" s="128">
        <v>920</v>
      </c>
      <c r="G47" s="128">
        <v>970</v>
      </c>
      <c r="H47" s="128">
        <v>1000</v>
      </c>
      <c r="I47" s="128">
        <v>1050</v>
      </c>
      <c r="J47" s="128">
        <v>1090</v>
      </c>
      <c r="K47" s="128">
        <v>1120</v>
      </c>
    </row>
    <row r="48" ht="12.75" customHeight="1" spans="1:12" x14ac:dyDescent="0.25">
      <c r="A48" s="18" t="s">
        <v>519</v>
      </c>
      <c r="B48" s="128">
        <v>1120</v>
      </c>
      <c r="C48" s="128">
        <v>1130</v>
      </c>
      <c r="D48" s="128">
        <v>1160</v>
      </c>
      <c r="E48" s="128">
        <v>1200</v>
      </c>
      <c r="F48" s="128">
        <v>1220</v>
      </c>
      <c r="G48" s="128">
        <v>1260</v>
      </c>
      <c r="H48" s="128">
        <v>1300</v>
      </c>
      <c r="I48" s="128">
        <v>1320</v>
      </c>
      <c r="J48" s="128">
        <v>1360</v>
      </c>
      <c r="K48" s="128">
        <v>1410</v>
      </c>
      <c r="L48" s="27"/>
    </row>
    <row r="49" ht="12.75" customHeight="1" spans="1:12" x14ac:dyDescent="0.25">
      <c r="A49" s="18" t="s">
        <v>520</v>
      </c>
      <c r="B49" s="317">
        <v>1470</v>
      </c>
      <c r="C49" s="128"/>
      <c r="D49" s="128"/>
      <c r="E49" s="128"/>
      <c r="F49" s="128"/>
      <c r="G49" s="128"/>
      <c r="H49" s="128"/>
      <c r="I49" s="128"/>
      <c r="J49" s="128"/>
      <c r="K49" s="128"/>
      <c r="L49" s="27" t="s">
        <v>526</v>
      </c>
    </row>
    <row r="50" ht="12.75" customHeight="1" spans="1:11" x14ac:dyDescent="0.25">
      <c r="A50" s="15" t="s">
        <v>529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</row>
    <row r="51" ht="12.75" customHeight="1" spans="1:11" x14ac:dyDescent="0.25">
      <c r="A51" s="15" t="s">
        <v>530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</row>
    <row r="52" ht="12.75" customHeight="1" spans="2:3" x14ac:dyDescent="0.25">
      <c r="B52" s="313"/>
      <c r="C52" s="15"/>
    </row>
    <row r="54" ht="15" customHeight="1" spans="1:37" x14ac:dyDescent="0.25">
      <c r="A54" s="318" t="s">
        <v>531</v>
      </c>
      <c r="B54" s="318" t="s">
        <v>532</v>
      </c>
      <c r="C54" s="318"/>
      <c r="D54" s="318" t="s">
        <v>533</v>
      </c>
      <c r="E54" s="318"/>
      <c r="F54" s="318" t="s">
        <v>534</v>
      </c>
      <c r="G54" s="318"/>
      <c r="H54" s="318" t="s">
        <v>535</v>
      </c>
      <c r="I54" s="318"/>
      <c r="J54" s="318" t="s">
        <v>536</v>
      </c>
      <c r="K54" s="318"/>
      <c r="L54" s="318" t="s">
        <v>537</v>
      </c>
      <c r="M54" s="318"/>
      <c r="N54" s="318" t="s">
        <v>538</v>
      </c>
      <c r="O54" s="318"/>
      <c r="P54" s="318" t="s">
        <v>539</v>
      </c>
      <c r="Q54" s="318"/>
      <c r="R54" s="318" t="s">
        <v>540</v>
      </c>
      <c r="S54" s="318"/>
      <c r="T54" s="318" t="s">
        <v>541</v>
      </c>
      <c r="U54" s="318"/>
      <c r="V54" s="318" t="s">
        <v>542</v>
      </c>
      <c r="W54" s="319"/>
      <c r="X54" s="318" t="s">
        <v>543</v>
      </c>
      <c r="Y54" s="320"/>
      <c r="Z54" s="321" t="s">
        <v>477</v>
      </c>
      <c r="AA54" s="320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3.5" customHeight="1" spans="1:38" x14ac:dyDescent="0.25">
      <c r="A55" s="55" t="s">
        <v>544</v>
      </c>
      <c r="B55" s="322">
        <v>0.024</v>
      </c>
      <c r="C55" s="323"/>
      <c r="D55" s="324">
        <v>0.026</v>
      </c>
      <c r="E55" s="323"/>
      <c r="F55" s="324">
        <v>0.026</v>
      </c>
      <c r="G55" s="323"/>
      <c r="H55" s="324">
        <v>0.026</v>
      </c>
      <c r="I55" s="323"/>
      <c r="J55" s="324">
        <v>0.026</v>
      </c>
      <c r="K55" s="323"/>
      <c r="L55" s="324">
        <v>0.027</v>
      </c>
      <c r="M55" s="323"/>
      <c r="N55" s="324">
        <v>0.027</v>
      </c>
      <c r="O55" s="323"/>
      <c r="P55" s="68">
        <v>0.028</v>
      </c>
      <c r="Q55" s="323"/>
      <c r="R55" s="68">
        <v>0.028</v>
      </c>
      <c r="S55" s="323"/>
      <c r="T55" s="325">
        <v>0.028</v>
      </c>
      <c r="U55" s="323"/>
      <c r="V55" s="325">
        <v>0.028</v>
      </c>
      <c r="W55" s="326"/>
      <c r="X55" s="325">
        <v>0.028</v>
      </c>
      <c r="Y55" s="15"/>
      <c r="Z55" s="327">
        <v>0.028</v>
      </c>
      <c r="AA55" s="328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ht="12.75" customHeight="1" spans="1:38" x14ac:dyDescent="0.25">
      <c r="A56" s="55" t="s">
        <v>545</v>
      </c>
      <c r="B56" s="329">
        <v>0.0354</v>
      </c>
      <c r="C56" s="330"/>
      <c r="D56" s="331">
        <v>0.0381</v>
      </c>
      <c r="E56" s="330"/>
      <c r="F56" s="331">
        <v>0.038</v>
      </c>
      <c r="G56" s="330"/>
      <c r="H56" s="331">
        <v>0.038</v>
      </c>
      <c r="I56" s="330"/>
      <c r="J56" s="331">
        <v>0.038</v>
      </c>
      <c r="K56" s="330"/>
      <c r="L56" s="331">
        <v>0.0387</v>
      </c>
      <c r="M56" s="330"/>
      <c r="N56" s="331">
        <v>0.0383</v>
      </c>
      <c r="O56" s="330"/>
      <c r="P56" s="332">
        <v>0.0393</v>
      </c>
      <c r="Q56" s="330"/>
      <c r="R56" s="332">
        <v>0.0392</v>
      </c>
      <c r="S56" s="330"/>
      <c r="T56" s="333">
        <v>0.04</v>
      </c>
      <c r="U56" s="330"/>
      <c r="V56" s="333">
        <v>0.04</v>
      </c>
      <c r="W56" s="334"/>
      <c r="X56" s="333">
        <v>0.039</v>
      </c>
      <c r="Y56" s="335"/>
      <c r="Z56" s="336">
        <v>0.039</v>
      </c>
      <c r="AA56" s="334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ht="12.75" customHeight="1" spans="1:26" x14ac:dyDescent="0.25">
      <c r="A57" s="15" t="s">
        <v>546</v>
      </c>
      <c r="B57" s="64"/>
      <c r="C57" s="55"/>
      <c r="D57" s="64"/>
      <c r="E57" s="55"/>
      <c r="F57" s="64"/>
      <c r="G57" s="55"/>
      <c r="H57" s="19"/>
      <c r="I57" s="55"/>
      <c r="J57" s="19"/>
      <c r="L57" s="19"/>
      <c r="N57" s="19"/>
      <c r="S57" s="15"/>
      <c r="T57" s="15"/>
      <c r="U57" s="15"/>
      <c r="V57" s="15"/>
      <c r="W57" s="15"/>
      <c r="X57" s="15"/>
      <c r="Y57" s="15"/>
      <c r="Z57" s="15"/>
    </row>
    <row r="58" ht="12.75" customHeight="1" spans="1:26" x14ac:dyDescent="0.25">
      <c r="A58" s="15" t="s">
        <v>547</v>
      </c>
      <c r="B58" s="64"/>
      <c r="C58" s="55"/>
      <c r="D58" s="64"/>
      <c r="E58" s="55"/>
      <c r="F58" s="64"/>
      <c r="G58" s="55"/>
      <c r="H58" s="19"/>
      <c r="I58" s="55"/>
      <c r="J58" s="19"/>
      <c r="L58" s="19"/>
      <c r="N58" s="19"/>
      <c r="S58" s="15"/>
      <c r="T58" s="15"/>
      <c r="U58" s="15"/>
      <c r="V58" s="15"/>
      <c r="W58" s="15"/>
      <c r="X58" s="15"/>
      <c r="Y58" s="15"/>
      <c r="Z58" s="15"/>
    </row>
    <row r="59" ht="12.75" customHeight="1" spans="1:26" x14ac:dyDescent="0.25">
      <c r="A59" s="15" t="s">
        <v>548</v>
      </c>
      <c r="B59" s="64"/>
      <c r="C59" s="55"/>
      <c r="D59" s="64"/>
      <c r="E59" s="55"/>
      <c r="F59" s="64"/>
      <c r="G59" s="55"/>
      <c r="H59" s="19"/>
      <c r="I59" s="55"/>
      <c r="J59" s="19"/>
      <c r="L59" s="19"/>
      <c r="N59" s="19"/>
      <c r="S59" s="15"/>
      <c r="T59" s="15"/>
      <c r="U59" s="15"/>
      <c r="V59" s="15"/>
      <c r="W59" s="15"/>
      <c r="X59" s="15"/>
      <c r="Y59" s="15"/>
      <c r="Z59" s="15"/>
    </row>
    <row r="60" ht="12.75" customHeight="1" spans="1:24" x14ac:dyDescent="0.25">
      <c r="A60" s="15" t="s">
        <v>549</v>
      </c>
      <c r="B60" s="19"/>
      <c r="C60" s="15"/>
      <c r="D60" s="19"/>
      <c r="F60" s="19"/>
      <c r="H60" s="19"/>
      <c r="J60" s="19"/>
      <c r="L60" s="19"/>
      <c r="S60" s="15"/>
      <c r="T60" s="15"/>
      <c r="U60" s="15"/>
      <c r="V60" s="15"/>
      <c r="W60" s="15"/>
      <c r="X60" s="15"/>
    </row>
    <row r="61" ht="12.75" customHeight="1" spans="1:24" x14ac:dyDescent="0.25">
      <c r="A61" s="15"/>
      <c r="B61" s="19"/>
      <c r="C61" s="15"/>
      <c r="D61" s="19"/>
      <c r="F61" s="19"/>
      <c r="H61" s="19"/>
      <c r="J61" s="19"/>
      <c r="L61" s="19"/>
      <c r="S61" s="15"/>
      <c r="T61" s="15"/>
      <c r="U61" s="15"/>
      <c r="V61" s="15"/>
      <c r="W61" s="15"/>
      <c r="X61" s="15"/>
    </row>
    <row r="62" ht="12.75" customHeight="1" spans="1:36" x14ac:dyDescent="0.25">
      <c r="A62" s="55"/>
      <c r="B62" s="318" t="s">
        <v>532</v>
      </c>
      <c r="C62" s="318"/>
      <c r="D62" s="318" t="s">
        <v>533</v>
      </c>
      <c r="E62" s="318"/>
      <c r="F62" s="318" t="s">
        <v>534</v>
      </c>
      <c r="G62" s="318"/>
      <c r="H62" s="318" t="s">
        <v>535</v>
      </c>
      <c r="I62" s="318"/>
      <c r="J62" s="318" t="s">
        <v>536</v>
      </c>
      <c r="K62" s="318"/>
      <c r="L62" s="318" t="s">
        <v>537</v>
      </c>
      <c r="M62" s="318"/>
      <c r="N62" s="318" t="s">
        <v>538</v>
      </c>
      <c r="O62" s="318"/>
      <c r="P62" s="318" t="s">
        <v>539</v>
      </c>
      <c r="Q62" s="318"/>
      <c r="R62" s="318" t="s">
        <v>540</v>
      </c>
      <c r="S62" s="318"/>
      <c r="T62" s="318" t="s">
        <v>541</v>
      </c>
      <c r="U62" s="318"/>
      <c r="V62" s="318" t="s">
        <v>542</v>
      </c>
      <c r="W62" s="319"/>
      <c r="X62" s="318" t="s">
        <v>543</v>
      </c>
      <c r="Y62" s="320"/>
      <c r="Z62" s="321" t="s">
        <v>477</v>
      </c>
      <c r="AA62" s="320"/>
      <c r="AB62" s="15"/>
      <c r="AC62" s="15"/>
      <c r="AD62" s="15"/>
      <c r="AE62" s="15"/>
      <c r="AF62" s="15"/>
      <c r="AG62" s="15"/>
      <c r="AH62" s="15"/>
      <c r="AI62" s="15"/>
      <c r="AJ62" s="15"/>
    </row>
    <row r="63" ht="12.75" customHeight="1" spans="1:38" x14ac:dyDescent="0.25">
      <c r="A63" s="18" t="s">
        <v>550</v>
      </c>
      <c r="B63" s="337" t="s">
        <v>161</v>
      </c>
      <c r="C63" s="338" t="s">
        <v>551</v>
      </c>
      <c r="D63" s="337" t="s">
        <v>161</v>
      </c>
      <c r="E63" s="338" t="s">
        <v>551</v>
      </c>
      <c r="F63" s="337" t="s">
        <v>161</v>
      </c>
      <c r="G63" s="338" t="s">
        <v>551</v>
      </c>
      <c r="H63" s="337" t="s">
        <v>161</v>
      </c>
      <c r="I63" s="338" t="s">
        <v>551</v>
      </c>
      <c r="J63" s="337" t="s">
        <v>161</v>
      </c>
      <c r="K63" s="338" t="s">
        <v>551</v>
      </c>
      <c r="L63" s="337" t="s">
        <v>161</v>
      </c>
      <c r="M63" s="338" t="s">
        <v>551</v>
      </c>
      <c r="N63" s="337" t="s">
        <v>161</v>
      </c>
      <c r="O63" s="338" t="s">
        <v>551</v>
      </c>
      <c r="P63" s="337" t="s">
        <v>161</v>
      </c>
      <c r="Q63" s="338" t="s">
        <v>551</v>
      </c>
      <c r="R63" s="337" t="s">
        <v>161</v>
      </c>
      <c r="S63" s="338" t="s">
        <v>551</v>
      </c>
      <c r="T63" s="339" t="s">
        <v>161</v>
      </c>
      <c r="U63" s="338" t="s">
        <v>551</v>
      </c>
      <c r="V63" s="339" t="s">
        <v>161</v>
      </c>
      <c r="W63" s="338" t="s">
        <v>551</v>
      </c>
      <c r="X63" s="339" t="s">
        <v>161</v>
      </c>
      <c r="Y63" s="339" t="s">
        <v>551</v>
      </c>
      <c r="Z63" s="337" t="s">
        <v>161</v>
      </c>
      <c r="AA63" s="338" t="s">
        <v>551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ht="12.75" customHeight="1" spans="2:38" x14ac:dyDescent="0.25">
      <c r="B64" s="340">
        <v>2020</v>
      </c>
      <c r="C64" s="341">
        <v>0.0227</v>
      </c>
      <c r="D64" s="340">
        <v>2019</v>
      </c>
      <c r="E64" s="341">
        <v>0.0183</v>
      </c>
      <c r="F64" s="340">
        <v>2018</v>
      </c>
      <c r="G64" s="341">
        <v>0.0223</v>
      </c>
      <c r="H64" s="340">
        <v>2017</v>
      </c>
      <c r="I64" s="341">
        <v>0.0217</v>
      </c>
      <c r="J64" s="340">
        <v>2016</v>
      </c>
      <c r="K64" s="341">
        <v>0.0086</v>
      </c>
      <c r="L64" s="340">
        <v>2015</v>
      </c>
      <c r="M64" s="341">
        <v>0.002</v>
      </c>
      <c r="N64" s="340">
        <v>2014</v>
      </c>
      <c r="O64" s="341">
        <v>0.0161</v>
      </c>
      <c r="P64" s="340">
        <v>2013</v>
      </c>
      <c r="Q64" s="341">
        <v>0.018</v>
      </c>
      <c r="R64" s="340">
        <v>2013</v>
      </c>
      <c r="S64" s="341">
        <v>0.0193</v>
      </c>
      <c r="T64" s="15">
        <v>2012</v>
      </c>
      <c r="U64" s="342">
        <v>0.017</v>
      </c>
      <c r="V64" s="15">
        <v>2011</v>
      </c>
      <c r="W64" s="342">
        <v>0.017</v>
      </c>
      <c r="X64" s="15">
        <v>2010</v>
      </c>
      <c r="Y64" s="19">
        <v>0.017</v>
      </c>
      <c r="Z64" s="340">
        <v>2009</v>
      </c>
      <c r="AA64" s="342">
        <v>0.025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ht="12.75" customHeight="1" spans="2:38" x14ac:dyDescent="0.25">
      <c r="B65" s="340">
        <f>B64+1</f>
        <v>2021</v>
      </c>
      <c r="C65" s="341">
        <v>0.0243</v>
      </c>
      <c r="D65" s="340">
        <f>D64+1</f>
        <v>2020</v>
      </c>
      <c r="E65" s="341">
        <v>0.0263</v>
      </c>
      <c r="F65" s="340">
        <f>F64+1</f>
        <v>2019</v>
      </c>
      <c r="G65" s="341">
        <v>0.025</v>
      </c>
      <c r="H65" s="340">
        <f>H64+1</f>
        <v>2018</v>
      </c>
      <c r="I65" s="341">
        <v>0.0297</v>
      </c>
      <c r="J65" s="340">
        <f>J64+1</f>
        <v>2017</v>
      </c>
      <c r="K65" s="341">
        <v>0.0276</v>
      </c>
      <c r="L65" s="340">
        <f>L64+1</f>
        <v>2016</v>
      </c>
      <c r="M65" s="341">
        <v>0.0297</v>
      </c>
      <c r="N65" s="340">
        <f>N64+1</f>
        <v>2015</v>
      </c>
      <c r="O65" s="341">
        <v>0.0195</v>
      </c>
      <c r="P65" s="340">
        <f>P64+1</f>
        <v>2014</v>
      </c>
      <c r="Q65" s="341">
        <v>0.0221</v>
      </c>
      <c r="R65" s="340">
        <f>R64+1</f>
        <v>2014</v>
      </c>
      <c r="S65" s="341">
        <v>0.0203</v>
      </c>
      <c r="T65" s="15">
        <f>T64+1</f>
        <v>2013</v>
      </c>
      <c r="U65" s="342">
        <v>0.019</v>
      </c>
      <c r="V65" s="15">
        <f>V64+1</f>
        <v>2012</v>
      </c>
      <c r="W65" s="342">
        <v>0.023</v>
      </c>
      <c r="X65" s="15">
        <f>X64+1</f>
        <v>2011</v>
      </c>
      <c r="Y65" s="19">
        <v>0.023</v>
      </c>
      <c r="Z65" s="340">
        <f>Z64+1</f>
        <v>2010</v>
      </c>
      <c r="AA65" s="342">
        <v>0.028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ht="12.75" customHeight="1" spans="2:38" x14ac:dyDescent="0.25">
      <c r="B66" s="340">
        <f>B65+1</f>
        <v>2022</v>
      </c>
      <c r="C66" s="341">
        <v>0.024</v>
      </c>
      <c r="D66" s="340">
        <f>D65+1</f>
        <v>2021</v>
      </c>
      <c r="E66" s="341">
        <v>0.026</v>
      </c>
      <c r="F66" s="340">
        <f>F65+1</f>
        <v>2020</v>
      </c>
      <c r="G66" s="341">
        <v>0.026</v>
      </c>
      <c r="H66" s="340">
        <f>H65+1</f>
        <v>2019</v>
      </c>
      <c r="I66" s="341">
        <v>0.0262</v>
      </c>
      <c r="J66" s="340">
        <f>J65+1</f>
        <v>2018</v>
      </c>
      <c r="K66" s="341">
        <v>0.0265</v>
      </c>
      <c r="L66" s="340">
        <f>L65+1</f>
        <v>2017</v>
      </c>
      <c r="M66" s="341">
        <v>0.0276</v>
      </c>
      <c r="N66" s="340">
        <f>N65+1</f>
        <v>2016</v>
      </c>
      <c r="O66" s="341">
        <v>0.0218</v>
      </c>
      <c r="P66" s="340">
        <f>P65+1</f>
        <v>2015</v>
      </c>
      <c r="Q66" s="341">
        <v>0.0242</v>
      </c>
      <c r="R66" s="340">
        <f>R65+1</f>
        <v>2015</v>
      </c>
      <c r="S66" s="341">
        <v>0.0212</v>
      </c>
      <c r="T66" s="15">
        <f>T65+1</f>
        <v>2014</v>
      </c>
      <c r="U66" s="342">
        <v>0.02</v>
      </c>
      <c r="V66" s="15">
        <f>V65+1</f>
        <v>2013</v>
      </c>
      <c r="W66" s="342">
        <v>0.027</v>
      </c>
      <c r="X66" s="15">
        <f>X65+1</f>
        <v>2012</v>
      </c>
      <c r="Y66" s="19">
        <v>0.027</v>
      </c>
      <c r="Z66" s="340">
        <f>Z65+1</f>
        <v>2011</v>
      </c>
      <c r="AA66" s="342">
        <v>0.028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ht="12.75" customHeight="1" spans="2:38" x14ac:dyDescent="0.25">
      <c r="B67" s="340">
        <f>B66+1</f>
        <v>2023</v>
      </c>
      <c r="C67" s="341">
        <v>0.024</v>
      </c>
      <c r="D67" s="340">
        <f>D66+1</f>
        <v>2022</v>
      </c>
      <c r="E67" s="341">
        <v>0.026</v>
      </c>
      <c r="F67" s="340">
        <f>F66+1</f>
        <v>2021</v>
      </c>
      <c r="G67" s="341">
        <v>0.026</v>
      </c>
      <c r="H67" s="340">
        <f>H66+1</f>
        <v>2020</v>
      </c>
      <c r="I67" s="341">
        <v>0.026</v>
      </c>
      <c r="J67" s="340">
        <f>J66+1</f>
        <v>2019</v>
      </c>
      <c r="K67" s="341">
        <v>0.026</v>
      </c>
      <c r="L67" s="340">
        <f>L66+1</f>
        <v>2018</v>
      </c>
      <c r="M67" s="341">
        <v>0.027</v>
      </c>
      <c r="N67" s="340">
        <f>N66+1</f>
        <v>2017</v>
      </c>
      <c r="O67" s="341">
        <v>0.0238</v>
      </c>
      <c r="P67" s="340">
        <f>P66+1</f>
        <v>2016</v>
      </c>
      <c r="Q67" s="341">
        <v>0.0254</v>
      </c>
      <c r="R67" s="340">
        <f>R66+1</f>
        <v>2016</v>
      </c>
      <c r="S67" s="341">
        <v>0.0224</v>
      </c>
      <c r="T67" s="15">
        <f>T66+1</f>
        <v>2015</v>
      </c>
      <c r="U67" s="342">
        <v>0.02</v>
      </c>
      <c r="V67" s="15">
        <f>V66+1</f>
        <v>2014</v>
      </c>
      <c r="W67" s="342">
        <v>0.028</v>
      </c>
      <c r="X67" s="15">
        <f>X66+1</f>
        <v>2013</v>
      </c>
      <c r="Y67" s="19">
        <v>0.031</v>
      </c>
      <c r="Z67" s="340">
        <f>Z66+1</f>
        <v>2012</v>
      </c>
      <c r="AA67" s="342">
        <v>0.028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ht="12.75" customHeight="1" spans="2:38" x14ac:dyDescent="0.25">
      <c r="B68" s="340">
        <f>B67+1</f>
        <v>2024</v>
      </c>
      <c r="C68" s="341">
        <v>0.024</v>
      </c>
      <c r="D68" s="340">
        <f>D67+1</f>
        <v>2023</v>
      </c>
      <c r="E68" s="341">
        <v>0.026</v>
      </c>
      <c r="F68" s="340">
        <f>F67+1</f>
        <v>2022</v>
      </c>
      <c r="G68" s="341">
        <v>0.026</v>
      </c>
      <c r="H68" s="340">
        <f>H67+1</f>
        <v>2021</v>
      </c>
      <c r="I68" s="341">
        <v>0.026</v>
      </c>
      <c r="J68" s="340">
        <f>J67+1</f>
        <v>2020</v>
      </c>
      <c r="K68" s="341">
        <v>0.026</v>
      </c>
      <c r="L68" s="340">
        <f>L67+1</f>
        <v>2019</v>
      </c>
      <c r="M68" s="341">
        <v>0.027</v>
      </c>
      <c r="N68" s="340">
        <f>N67+1</f>
        <v>2018</v>
      </c>
      <c r="O68" s="341">
        <v>0.0258</v>
      </c>
      <c r="P68" s="340">
        <f>P67+1</f>
        <v>2017</v>
      </c>
      <c r="Q68" s="341">
        <v>0.027</v>
      </c>
      <c r="R68" s="340">
        <f>R67+1</f>
        <v>2017</v>
      </c>
      <c r="S68" s="341">
        <v>0.0244</v>
      </c>
      <c r="T68" s="15">
        <f>T67+1</f>
        <v>2016</v>
      </c>
      <c r="U68" s="342">
        <v>0.02</v>
      </c>
      <c r="V68" s="15">
        <f>V67+1</f>
        <v>2015</v>
      </c>
      <c r="W68" s="342">
        <v>0.028</v>
      </c>
      <c r="X68" s="15">
        <f>X67+1</f>
        <v>2014</v>
      </c>
      <c r="Y68" s="19">
        <v>0.031</v>
      </c>
      <c r="Z68" s="340">
        <f>Z67+1</f>
        <v>2013</v>
      </c>
      <c r="AA68" s="342">
        <v>0.028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ht="12.75" customHeight="1" spans="2:38" x14ac:dyDescent="0.25">
      <c r="B69" s="340">
        <f>B68+1</f>
        <v>2025</v>
      </c>
      <c r="C69" s="341">
        <v>0.024</v>
      </c>
      <c r="D69" s="340">
        <f>D68+1</f>
        <v>2024</v>
      </c>
      <c r="E69" s="341">
        <v>0.026</v>
      </c>
      <c r="F69" s="340">
        <f>F68+1</f>
        <v>2023</v>
      </c>
      <c r="G69" s="341">
        <v>0.026</v>
      </c>
      <c r="H69" s="340">
        <f>H68+1</f>
        <v>2022</v>
      </c>
      <c r="I69" s="341">
        <v>0.026</v>
      </c>
      <c r="J69" s="340">
        <f>J68+1</f>
        <v>2021</v>
      </c>
      <c r="K69" s="341">
        <v>0.026</v>
      </c>
      <c r="L69" s="340">
        <f>L68+1</f>
        <v>2020</v>
      </c>
      <c r="M69" s="341">
        <v>0.027</v>
      </c>
      <c r="N69" s="340">
        <f>N68+1</f>
        <v>2019</v>
      </c>
      <c r="O69" s="341">
        <v>0.0269</v>
      </c>
      <c r="P69" s="340">
        <f>P68+1</f>
        <v>2018</v>
      </c>
      <c r="Q69" s="341">
        <v>0.028</v>
      </c>
      <c r="R69" s="340">
        <f>R68+1</f>
        <v>2018</v>
      </c>
      <c r="S69" s="341">
        <v>0.0257</v>
      </c>
      <c r="T69" s="15">
        <f>T68+1</f>
        <v>2017</v>
      </c>
      <c r="U69" s="342">
        <v>0.022</v>
      </c>
      <c r="V69" s="15">
        <f>V68+1</f>
        <v>2016</v>
      </c>
      <c r="W69" s="342">
        <v>0.028</v>
      </c>
      <c r="X69" s="15">
        <f>X68+1</f>
        <v>2015</v>
      </c>
      <c r="Y69" s="19">
        <v>0.028</v>
      </c>
      <c r="Z69" s="340">
        <f>Z68+1</f>
        <v>2014</v>
      </c>
      <c r="AA69" s="342">
        <v>0.028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ht="12.75" customHeight="1" spans="2:38" x14ac:dyDescent="0.25">
      <c r="B70" s="340">
        <f>B69+1</f>
        <v>2026</v>
      </c>
      <c r="C70" s="341">
        <v>0.024</v>
      </c>
      <c r="D70" s="340">
        <f>D69+1</f>
        <v>2025</v>
      </c>
      <c r="E70" s="341">
        <v>0.026</v>
      </c>
      <c r="F70" s="340">
        <f>F69+1</f>
        <v>2024</v>
      </c>
      <c r="G70" s="341">
        <v>0.026</v>
      </c>
      <c r="H70" s="340">
        <f>H69+1</f>
        <v>2023</v>
      </c>
      <c r="I70" s="341">
        <v>0.026</v>
      </c>
      <c r="J70" s="340">
        <f>J69+1</f>
        <v>2022</v>
      </c>
      <c r="K70" s="341">
        <v>0.026</v>
      </c>
      <c r="L70" s="340">
        <f>L69+1</f>
        <v>2021</v>
      </c>
      <c r="M70" s="341">
        <v>0.027</v>
      </c>
      <c r="N70" s="340">
        <f>N69+1</f>
        <v>2020</v>
      </c>
      <c r="O70" s="341">
        <v>0.027</v>
      </c>
      <c r="P70" s="340">
        <f>P69+1</f>
        <v>2019</v>
      </c>
      <c r="Q70" s="341">
        <v>0.028</v>
      </c>
      <c r="R70" s="340">
        <f>R69+1</f>
        <v>2019</v>
      </c>
      <c r="S70" s="341">
        <v>0.0278</v>
      </c>
      <c r="T70" s="15">
        <f>T69+1</f>
        <v>2018</v>
      </c>
      <c r="U70" s="342">
        <v>0.026</v>
      </c>
      <c r="V70" s="15">
        <f>V69+1</f>
        <v>2017</v>
      </c>
      <c r="W70" s="342">
        <v>0.028</v>
      </c>
      <c r="X70" s="15">
        <f>X69+1</f>
        <v>2016</v>
      </c>
      <c r="Y70" s="19">
        <v>0.028</v>
      </c>
      <c r="Z70" s="340">
        <f>Z69+1</f>
        <v>2015</v>
      </c>
      <c r="AA70" s="342">
        <v>0.028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ht="12.75" customHeight="1" spans="2:38" x14ac:dyDescent="0.25">
      <c r="B71" s="340">
        <f>B70+1</f>
        <v>2027</v>
      </c>
      <c r="C71" s="341">
        <v>0.024</v>
      </c>
      <c r="D71" s="340">
        <f>D70+1</f>
        <v>2026</v>
      </c>
      <c r="E71" s="341">
        <v>0.026</v>
      </c>
      <c r="F71" s="340">
        <f>F70+1</f>
        <v>2025</v>
      </c>
      <c r="G71" s="341">
        <v>0.026</v>
      </c>
      <c r="H71" s="340">
        <f>H70+1</f>
        <v>2024</v>
      </c>
      <c r="I71" s="341">
        <v>0.026</v>
      </c>
      <c r="J71" s="340">
        <f>J70+1</f>
        <v>2023</v>
      </c>
      <c r="K71" s="341">
        <v>0.026</v>
      </c>
      <c r="L71" s="340">
        <f>L70+1</f>
        <v>2022</v>
      </c>
      <c r="M71" s="341">
        <v>0.027</v>
      </c>
      <c r="N71" s="340">
        <f>N70+1</f>
        <v>2021</v>
      </c>
      <c r="O71" s="341">
        <v>0.027</v>
      </c>
      <c r="P71" s="340">
        <f>P70+1</f>
        <v>2020</v>
      </c>
      <c r="Q71" s="341">
        <v>0.028</v>
      </c>
      <c r="R71" s="340">
        <f>R70+1</f>
        <v>2020</v>
      </c>
      <c r="S71" s="341">
        <v>0.0281</v>
      </c>
      <c r="T71" s="15">
        <f>T70+1</f>
        <v>2019</v>
      </c>
      <c r="U71" s="342">
        <v>0.028</v>
      </c>
      <c r="V71" s="15">
        <f>V70+1</f>
        <v>2018</v>
      </c>
      <c r="W71" s="342">
        <v>0.028</v>
      </c>
      <c r="X71" s="15">
        <f>X70+1</f>
        <v>2017</v>
      </c>
      <c r="Y71" s="19">
        <v>0.028</v>
      </c>
      <c r="Z71" s="340">
        <f>Z70+1</f>
        <v>2016</v>
      </c>
      <c r="AA71" s="342">
        <v>0.028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ht="12.75" customHeight="1" spans="2:38" x14ac:dyDescent="0.25">
      <c r="B72" s="340">
        <f>B71+1</f>
        <v>2028</v>
      </c>
      <c r="C72" s="341">
        <v>0.024</v>
      </c>
      <c r="D72" s="340">
        <f>D71+1</f>
        <v>2027</v>
      </c>
      <c r="E72" s="341">
        <v>0.026</v>
      </c>
      <c r="F72" s="340">
        <f>F71+1</f>
        <v>2026</v>
      </c>
      <c r="G72" s="341">
        <v>0.026</v>
      </c>
      <c r="H72" s="340">
        <f>H71+1</f>
        <v>2025</v>
      </c>
      <c r="I72" s="341">
        <v>0.026</v>
      </c>
      <c r="J72" s="340">
        <f>J71+1</f>
        <v>2024</v>
      </c>
      <c r="K72" s="341">
        <v>0.026</v>
      </c>
      <c r="L72" s="340">
        <f>L71+1</f>
        <v>2023</v>
      </c>
      <c r="M72" s="341">
        <v>0.027</v>
      </c>
      <c r="N72" s="340">
        <f>N71+1</f>
        <v>2022</v>
      </c>
      <c r="O72" s="341">
        <v>0.027</v>
      </c>
      <c r="P72" s="340">
        <f>P71+1</f>
        <v>2021</v>
      </c>
      <c r="Q72" s="341">
        <v>0.028</v>
      </c>
      <c r="R72" s="340">
        <f>R71+1</f>
        <v>2021</v>
      </c>
      <c r="S72" s="341">
        <v>0.028</v>
      </c>
      <c r="T72" s="15">
        <f>T71+1</f>
        <v>2020</v>
      </c>
      <c r="U72" s="342">
        <v>0.028</v>
      </c>
      <c r="V72" s="15">
        <f>V71+1</f>
        <v>2019</v>
      </c>
      <c r="W72" s="342">
        <v>0.028</v>
      </c>
      <c r="X72" s="15">
        <f>X71+1</f>
        <v>2018</v>
      </c>
      <c r="Y72" s="19">
        <v>0.028</v>
      </c>
      <c r="Z72" s="340">
        <f>Z71+1</f>
        <v>2017</v>
      </c>
      <c r="AA72" s="342">
        <v>0.028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ht="12.75" customHeight="1" spans="2:38" x14ac:dyDescent="0.25">
      <c r="B73" s="340">
        <f>B72+1</f>
        <v>2029</v>
      </c>
      <c r="C73" s="341">
        <v>0.024</v>
      </c>
      <c r="D73" s="340">
        <f>D72+1</f>
        <v>2028</v>
      </c>
      <c r="E73" s="341">
        <v>0.026</v>
      </c>
      <c r="F73" s="340">
        <f>F72+1</f>
        <v>2027</v>
      </c>
      <c r="G73" s="341">
        <v>0.026</v>
      </c>
      <c r="H73" s="340">
        <f>H72+1</f>
        <v>2026</v>
      </c>
      <c r="I73" s="341">
        <v>0.026</v>
      </c>
      <c r="J73" s="340">
        <f>J72+1</f>
        <v>2025</v>
      </c>
      <c r="K73" s="341">
        <v>0.026</v>
      </c>
      <c r="L73" s="340">
        <f>L72+1</f>
        <v>2024</v>
      </c>
      <c r="M73" s="341">
        <v>0.027</v>
      </c>
      <c r="N73" s="340">
        <f>N72+1</f>
        <v>2023</v>
      </c>
      <c r="O73" s="341">
        <v>0.027</v>
      </c>
      <c r="P73" s="340">
        <f>P72+1</f>
        <v>2022</v>
      </c>
      <c r="Q73" s="341">
        <v>0.028</v>
      </c>
      <c r="R73" s="340">
        <f>R72+1</f>
        <v>2022</v>
      </c>
      <c r="S73" s="341">
        <v>0.028</v>
      </c>
      <c r="T73" s="15">
        <f>T72+1</f>
        <v>2021</v>
      </c>
      <c r="U73" s="342">
        <v>0.028</v>
      </c>
      <c r="V73" s="15">
        <f>V72+1</f>
        <v>2020</v>
      </c>
      <c r="W73" s="342">
        <v>0.028</v>
      </c>
      <c r="X73" s="15">
        <f>X72+1</f>
        <v>2019</v>
      </c>
      <c r="Y73" s="19">
        <v>0.028</v>
      </c>
      <c r="Z73" s="340">
        <f>Z72+1</f>
        <v>2018</v>
      </c>
      <c r="AA73" s="342">
        <v>0.028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ht="12.75" customHeight="1" spans="2:38" x14ac:dyDescent="0.25">
      <c r="B74" s="340">
        <f>B73+1</f>
        <v>2030</v>
      </c>
      <c r="C74" s="341">
        <v>0.024</v>
      </c>
      <c r="D74" s="340">
        <f>D73+1</f>
        <v>2029</v>
      </c>
      <c r="E74" s="341">
        <v>0.026</v>
      </c>
      <c r="F74" s="340">
        <f>F73+1</f>
        <v>2028</v>
      </c>
      <c r="G74" s="341">
        <v>0.026</v>
      </c>
      <c r="H74" s="340">
        <f>H73+1</f>
        <v>2027</v>
      </c>
      <c r="I74" s="341">
        <v>0.026</v>
      </c>
      <c r="J74" s="340">
        <f>J73+1</f>
        <v>2026</v>
      </c>
      <c r="K74" s="341">
        <v>0.026</v>
      </c>
      <c r="L74" s="340">
        <f>L73+1</f>
        <v>2025</v>
      </c>
      <c r="M74" s="341">
        <f>M73</f>
        <v>0.027</v>
      </c>
      <c r="N74" s="340">
        <f>N73+1</f>
        <v>2024</v>
      </c>
      <c r="O74" s="341">
        <f>O73</f>
        <v>0.027</v>
      </c>
      <c r="P74" s="340">
        <f>P73+1</f>
        <v>2023</v>
      </c>
      <c r="Q74" s="341">
        <v>0.028</v>
      </c>
      <c r="R74" s="340">
        <f>R73+1</f>
        <v>2023</v>
      </c>
      <c r="S74" s="341">
        <v>0.028</v>
      </c>
      <c r="T74" s="15">
        <f>T73+1</f>
        <v>2022</v>
      </c>
      <c r="U74" s="342">
        <v>0.028</v>
      </c>
      <c r="V74" s="15">
        <f>V73+1</f>
        <v>2021</v>
      </c>
      <c r="W74" s="342">
        <v>0.028</v>
      </c>
      <c r="X74" s="15">
        <f>X73+1</f>
        <v>2020</v>
      </c>
      <c r="Y74" s="19">
        <v>0.028</v>
      </c>
      <c r="Z74" s="340">
        <f>Z73+1</f>
        <v>2019</v>
      </c>
      <c r="AA74" s="342">
        <v>0.028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ht="12.75" customHeight="1" spans="2:38" x14ac:dyDescent="0.25">
      <c r="B75" s="340">
        <f>B74+1</f>
        <v>2031</v>
      </c>
      <c r="C75" s="341">
        <v>0.024</v>
      </c>
      <c r="D75" s="340">
        <f>D74+1</f>
        <v>2030</v>
      </c>
      <c r="E75" s="341">
        <v>0.026</v>
      </c>
      <c r="F75" s="340">
        <f>F74+1</f>
        <v>2029</v>
      </c>
      <c r="G75" s="341">
        <v>0.026</v>
      </c>
      <c r="H75" s="340">
        <f>H74+1</f>
        <v>2028</v>
      </c>
      <c r="I75" s="341">
        <v>0.026</v>
      </c>
      <c r="J75" s="340">
        <f>J74+1</f>
        <v>2027</v>
      </c>
      <c r="K75" s="341">
        <v>0.026</v>
      </c>
      <c r="L75" s="340">
        <f>L74+1</f>
        <v>2026</v>
      </c>
      <c r="M75" s="341">
        <f>M74</f>
        <v>0.027</v>
      </c>
      <c r="N75" s="340">
        <f>N74+1</f>
        <v>2025</v>
      </c>
      <c r="O75" s="341">
        <f>O74</f>
        <v>0.027</v>
      </c>
      <c r="P75" s="340">
        <f>P74+1</f>
        <v>2024</v>
      </c>
      <c r="Q75" s="341">
        <f>Q74</f>
        <v>0.028</v>
      </c>
      <c r="R75" s="340">
        <f>R74+1</f>
        <v>2024</v>
      </c>
      <c r="S75" s="341">
        <f>S74</f>
        <v>0.028</v>
      </c>
      <c r="T75" s="15">
        <f>T74+1</f>
        <v>2023</v>
      </c>
      <c r="U75" s="342">
        <f>U74</f>
        <v>0.028</v>
      </c>
      <c r="V75" s="15">
        <f>V74+1</f>
        <v>2022</v>
      </c>
      <c r="W75" s="342">
        <f>W74</f>
        <v>0.028</v>
      </c>
      <c r="X75" s="15">
        <f>X74+1</f>
        <v>2021</v>
      </c>
      <c r="Y75" s="19">
        <f>Y74</f>
        <v>0.028</v>
      </c>
      <c r="Z75" s="340">
        <f>Z74+1</f>
        <v>2020</v>
      </c>
      <c r="AA75" s="342">
        <v>0.028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ht="12.75" customHeight="1" spans="2:38" x14ac:dyDescent="0.25">
      <c r="B76" s="340">
        <f>B75+1</f>
        <v>2032</v>
      </c>
      <c r="C76" s="341">
        <v>0.024</v>
      </c>
      <c r="D76" s="340">
        <f>D75+1</f>
        <v>2031</v>
      </c>
      <c r="E76" s="341">
        <v>0.026</v>
      </c>
      <c r="F76" s="340">
        <f>F75+1</f>
        <v>2030</v>
      </c>
      <c r="G76" s="341">
        <v>0.026</v>
      </c>
      <c r="H76" s="340">
        <f>H75+1</f>
        <v>2029</v>
      </c>
      <c r="I76" s="341">
        <v>0.026</v>
      </c>
      <c r="J76" s="340">
        <f>J75+1</f>
        <v>2028</v>
      </c>
      <c r="K76" s="341">
        <v>0.026</v>
      </c>
      <c r="L76" s="340">
        <f>L75+1</f>
        <v>2027</v>
      </c>
      <c r="M76" s="341">
        <f>M75</f>
        <v>0.027</v>
      </c>
      <c r="N76" s="340">
        <f>N75+1</f>
        <v>2026</v>
      </c>
      <c r="O76" s="341">
        <f>O75</f>
        <v>0.027</v>
      </c>
      <c r="P76" s="340">
        <f>P75+1</f>
        <v>2025</v>
      </c>
      <c r="Q76" s="341">
        <f>Q75</f>
        <v>0.028</v>
      </c>
      <c r="R76" s="340">
        <f>R75+1</f>
        <v>2025</v>
      </c>
      <c r="S76" s="341">
        <f>S75</f>
        <v>0.028</v>
      </c>
      <c r="T76" s="15">
        <f>T75+1</f>
        <v>2024</v>
      </c>
      <c r="U76" s="342">
        <f>U75</f>
        <v>0.028</v>
      </c>
      <c r="V76" s="15">
        <f>V75+1</f>
        <v>2023</v>
      </c>
      <c r="W76" s="342">
        <f>W75</f>
        <v>0.028</v>
      </c>
      <c r="X76" s="15">
        <f>X75+1</f>
        <v>2022</v>
      </c>
      <c r="Y76" s="19">
        <f>Y75</f>
        <v>0.028</v>
      </c>
      <c r="Z76" s="340">
        <f>Z75+1</f>
        <v>2021</v>
      </c>
      <c r="AA76" s="342">
        <v>0.028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ht="12.75" customHeight="1" spans="2:38" x14ac:dyDescent="0.25">
      <c r="B77" s="340">
        <f>B76+1</f>
        <v>2033</v>
      </c>
      <c r="C77" s="341">
        <v>0.024</v>
      </c>
      <c r="D77" s="340">
        <f>D76+1</f>
        <v>2032</v>
      </c>
      <c r="E77" s="341">
        <v>0.026</v>
      </c>
      <c r="F77" s="340">
        <f>F76+1</f>
        <v>2031</v>
      </c>
      <c r="G77" s="341">
        <v>0.026</v>
      </c>
      <c r="H77" s="340">
        <f>H76+1</f>
        <v>2030</v>
      </c>
      <c r="I77" s="341">
        <v>0.026</v>
      </c>
      <c r="J77" s="340">
        <f>J76+1</f>
        <v>2029</v>
      </c>
      <c r="K77" s="341">
        <v>0.026</v>
      </c>
      <c r="L77" s="340">
        <f>L76+1</f>
        <v>2028</v>
      </c>
      <c r="M77" s="341">
        <f>M76</f>
        <v>0.027</v>
      </c>
      <c r="N77" s="340">
        <f>N76+1</f>
        <v>2027</v>
      </c>
      <c r="O77" s="341">
        <f>O76</f>
        <v>0.027</v>
      </c>
      <c r="P77" s="340">
        <f>P76+1</f>
        <v>2026</v>
      </c>
      <c r="Q77" s="341">
        <f>Q76</f>
        <v>0.028</v>
      </c>
      <c r="R77" s="340">
        <f>R76+1</f>
        <v>2026</v>
      </c>
      <c r="S77" s="341">
        <f>S76</f>
        <v>0.028</v>
      </c>
      <c r="T77" s="15">
        <f>T76+1</f>
        <v>2025</v>
      </c>
      <c r="U77" s="342">
        <f>U76</f>
        <v>0.028</v>
      </c>
      <c r="V77" s="15">
        <f>V76+1</f>
        <v>2024</v>
      </c>
      <c r="W77" s="342">
        <f>W76</f>
        <v>0.028</v>
      </c>
      <c r="X77" s="15">
        <f>X76+1</f>
        <v>2023</v>
      </c>
      <c r="Y77" s="19">
        <f>Y76</f>
        <v>0.028</v>
      </c>
      <c r="Z77" s="340">
        <f>Z76+1</f>
        <v>2022</v>
      </c>
      <c r="AA77" s="342">
        <v>0.028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ht="12.75" customHeight="1" spans="2:38" x14ac:dyDescent="0.25">
      <c r="B78" s="343">
        <f>B77+1</f>
        <v>2034</v>
      </c>
      <c r="C78" s="341">
        <v>0.024</v>
      </c>
      <c r="D78" s="343">
        <f>D77+1</f>
        <v>2033</v>
      </c>
      <c r="E78" s="344">
        <f>E77</f>
        <v>0.026</v>
      </c>
      <c r="F78" s="343">
        <f>F77+1</f>
        <v>2032</v>
      </c>
      <c r="G78" s="344">
        <f>G77</f>
        <v>0.026</v>
      </c>
      <c r="H78" s="343">
        <f>H77+1</f>
        <v>2031</v>
      </c>
      <c r="I78" s="344">
        <f>I77</f>
        <v>0.026</v>
      </c>
      <c r="J78" s="343">
        <f>J77+1</f>
        <v>2030</v>
      </c>
      <c r="K78" s="344">
        <f>K77</f>
        <v>0.026</v>
      </c>
      <c r="L78" s="343">
        <f>L77+1</f>
        <v>2029</v>
      </c>
      <c r="M78" s="344">
        <f>M77</f>
        <v>0.027</v>
      </c>
      <c r="N78" s="343">
        <f>N77+1</f>
        <v>2028</v>
      </c>
      <c r="O78" s="344">
        <f>O77</f>
        <v>0.027</v>
      </c>
      <c r="P78" s="343">
        <f>P77+1</f>
        <v>2027</v>
      </c>
      <c r="Q78" s="344">
        <f>Q77</f>
        <v>0.028</v>
      </c>
      <c r="R78" s="343">
        <f>R77+1</f>
        <v>2027</v>
      </c>
      <c r="S78" s="344">
        <f>S77</f>
        <v>0.028</v>
      </c>
      <c r="T78" s="335">
        <f>T77+1</f>
        <v>2026</v>
      </c>
      <c r="U78" s="345">
        <f>U77</f>
        <v>0.028</v>
      </c>
      <c r="V78" s="335">
        <f>V77+1</f>
        <v>2025</v>
      </c>
      <c r="W78" s="345">
        <f>W77</f>
        <v>0.028</v>
      </c>
      <c r="X78" s="335">
        <f>X77+1</f>
        <v>2024</v>
      </c>
      <c r="Y78" s="333">
        <f>Y77</f>
        <v>0.028</v>
      </c>
      <c r="Z78" s="343">
        <f>Z77+1</f>
        <v>2023</v>
      </c>
      <c r="AA78" s="345">
        <v>0.028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ht="12.75" customHeight="1" spans="1:26" x14ac:dyDescent="0.25">
      <c r="A79" s="15" t="s">
        <v>552</v>
      </c>
      <c r="B79" s="15"/>
      <c r="C79" s="64"/>
      <c r="E79" s="64"/>
      <c r="G79" s="64"/>
      <c r="I79" s="19"/>
      <c r="K79" s="19"/>
      <c r="M79" s="19"/>
      <c r="O79" s="19"/>
      <c r="S79" s="15"/>
      <c r="T79" s="15"/>
      <c r="U79" s="15"/>
      <c r="V79" s="15"/>
      <c r="W79" s="15"/>
      <c r="X79" s="15"/>
      <c r="Y79" s="15"/>
      <c r="Z79" s="15"/>
    </row>
    <row r="80" ht="12.75" customHeight="1" spans="1:26" x14ac:dyDescent="0.25">
      <c r="A80" s="15" t="s">
        <v>553</v>
      </c>
      <c r="B80" s="15"/>
      <c r="C80" s="64"/>
      <c r="E80" s="64"/>
      <c r="G80" s="64"/>
      <c r="I80" s="19"/>
      <c r="K80" s="19"/>
      <c r="M80" s="19"/>
      <c r="O80" s="19"/>
      <c r="S80" s="15"/>
      <c r="T80" s="15"/>
      <c r="U80" s="15"/>
      <c r="V80" s="15"/>
      <c r="W80" s="15"/>
      <c r="X80" s="15"/>
      <c r="Y80" s="15"/>
      <c r="Z80" s="15"/>
    </row>
    <row r="81" ht="12.75" customHeight="1" spans="1:26" x14ac:dyDescent="0.25">
      <c r="A81" s="15" t="s">
        <v>554</v>
      </c>
      <c r="B81" s="15"/>
      <c r="C81" s="64"/>
      <c r="E81" s="64"/>
      <c r="G81" s="64"/>
      <c r="I81" s="19"/>
      <c r="K81" s="19"/>
      <c r="M81" s="19"/>
      <c r="O81" s="19"/>
      <c r="S81" s="15"/>
      <c r="T81" s="15"/>
      <c r="U81" s="15"/>
      <c r="V81" s="15"/>
      <c r="W81" s="15"/>
      <c r="X81" s="15"/>
      <c r="Y81" s="15"/>
      <c r="Z81" s="15"/>
    </row>
    <row r="82" ht="12.75" customHeight="1" spans="1:26" x14ac:dyDescent="0.25">
      <c r="A82" s="15"/>
      <c r="B82" s="15"/>
      <c r="C82" s="64"/>
      <c r="E82" s="64"/>
      <c r="G82" s="64"/>
      <c r="I82" s="19"/>
      <c r="K82" s="19"/>
      <c r="M82" s="19"/>
      <c r="O82" s="19"/>
      <c r="S82" s="15"/>
      <c r="T82" s="15"/>
      <c r="U82" s="15"/>
      <c r="V82" s="15"/>
      <c r="W82" s="15"/>
      <c r="X82" s="15"/>
      <c r="Y82" s="15"/>
      <c r="Z82" s="15"/>
    </row>
    <row r="83" ht="15" customHeight="1" spans="2:36" x14ac:dyDescent="0.25">
      <c r="B83" s="318" t="s">
        <v>532</v>
      </c>
      <c r="C83" s="318"/>
      <c r="D83" s="318" t="s">
        <v>533</v>
      </c>
      <c r="E83" s="318"/>
      <c r="F83" s="318" t="s">
        <v>534</v>
      </c>
      <c r="G83" s="318"/>
      <c r="H83" s="318" t="s">
        <v>535</v>
      </c>
      <c r="I83" s="318"/>
      <c r="J83" s="318" t="s">
        <v>536</v>
      </c>
      <c r="K83" s="318"/>
      <c r="L83" s="318" t="s">
        <v>537</v>
      </c>
      <c r="M83" s="318"/>
      <c r="N83" s="318" t="s">
        <v>538</v>
      </c>
      <c r="O83" s="318"/>
      <c r="P83" s="318" t="s">
        <v>539</v>
      </c>
      <c r="Q83" s="318"/>
      <c r="R83" s="318" t="s">
        <v>540</v>
      </c>
      <c r="S83" s="318"/>
      <c r="T83" s="318" t="s">
        <v>541</v>
      </c>
      <c r="U83" s="318"/>
      <c r="V83" s="318" t="s">
        <v>542</v>
      </c>
      <c r="W83" s="319"/>
      <c r="X83" s="318" t="s">
        <v>543</v>
      </c>
      <c r="Y83" s="320"/>
      <c r="Z83" s="321" t="s">
        <v>477</v>
      </c>
      <c r="AA83" s="320"/>
      <c r="AB83" s="15"/>
      <c r="AC83" s="15"/>
      <c r="AD83" s="15"/>
      <c r="AE83" s="15"/>
      <c r="AF83" s="15"/>
      <c r="AG83" s="15"/>
      <c r="AH83" s="15"/>
      <c r="AI83" s="15"/>
      <c r="AJ83" s="15"/>
    </row>
    <row r="84" ht="12.75" customHeight="1" spans="1:36" x14ac:dyDescent="0.25">
      <c r="A84" s="18" t="s">
        <v>555</v>
      </c>
      <c r="B84" s="337" t="s">
        <v>161</v>
      </c>
      <c r="C84" s="338" t="s">
        <v>556</v>
      </c>
      <c r="D84" s="337" t="s">
        <v>161</v>
      </c>
      <c r="E84" s="338" t="s">
        <v>556</v>
      </c>
      <c r="F84" s="337" t="s">
        <v>161</v>
      </c>
      <c r="G84" s="338" t="s">
        <v>556</v>
      </c>
      <c r="H84" s="337" t="s">
        <v>161</v>
      </c>
      <c r="I84" s="338" t="s">
        <v>556</v>
      </c>
      <c r="J84" s="337" t="s">
        <v>161</v>
      </c>
      <c r="K84" s="338" t="s">
        <v>556</v>
      </c>
      <c r="L84" s="337" t="s">
        <v>161</v>
      </c>
      <c r="M84" s="338" t="s">
        <v>556</v>
      </c>
      <c r="N84" s="337" t="s">
        <v>161</v>
      </c>
      <c r="O84" s="338" t="s">
        <v>556</v>
      </c>
      <c r="P84" s="337" t="s">
        <v>161</v>
      </c>
      <c r="Q84" s="338" t="s">
        <v>556</v>
      </c>
      <c r="R84" s="337" t="s">
        <v>161</v>
      </c>
      <c r="S84" s="338" t="s">
        <v>556</v>
      </c>
      <c r="T84" s="339" t="s">
        <v>161</v>
      </c>
      <c r="U84" s="338" t="s">
        <v>556</v>
      </c>
      <c r="V84" s="339" t="s">
        <v>161</v>
      </c>
      <c r="W84" s="338" t="s">
        <v>556</v>
      </c>
      <c r="X84" s="339" t="s">
        <v>161</v>
      </c>
      <c r="Y84" s="339" t="s">
        <v>556</v>
      </c>
      <c r="Z84" s="337" t="s">
        <v>161</v>
      </c>
      <c r="AA84" s="346" t="s">
        <v>556</v>
      </c>
      <c r="AB84" s="15"/>
      <c r="AC84" s="15"/>
      <c r="AD84" s="18"/>
      <c r="AE84" s="18"/>
      <c r="AF84" s="18"/>
      <c r="AG84" s="347"/>
      <c r="AH84" s="15"/>
      <c r="AI84" s="15"/>
      <c r="AJ84" s="15"/>
    </row>
    <row r="85" ht="12.75" customHeight="1" spans="2:36" x14ac:dyDescent="0.25">
      <c r="B85" s="340">
        <v>2020</v>
      </c>
      <c r="C85" s="348">
        <v>55641.66</v>
      </c>
      <c r="D85" s="340">
        <v>2019</v>
      </c>
      <c r="E85" s="348">
        <v>53863.71</v>
      </c>
      <c r="F85" s="340">
        <v>2018</v>
      </c>
      <c r="G85" s="348">
        <v>51894.47</v>
      </c>
      <c r="H85" s="340">
        <v>2017</v>
      </c>
      <c r="I85" s="348">
        <v>51314.31</v>
      </c>
      <c r="J85" s="340">
        <v>2016</v>
      </c>
      <c r="K85" s="348">
        <v>49121.32</v>
      </c>
      <c r="L85" s="340">
        <v>2015</v>
      </c>
      <c r="M85" s="348">
        <v>47820.21</v>
      </c>
      <c r="N85" s="340">
        <v>2014</v>
      </c>
      <c r="O85" s="349">
        <v>46786.77</v>
      </c>
      <c r="P85" s="340">
        <v>2013</v>
      </c>
      <c r="Q85" s="349">
        <v>44826.31</v>
      </c>
      <c r="R85" s="340">
        <v>2012</v>
      </c>
      <c r="S85" s="349">
        <v>44644.06</v>
      </c>
      <c r="T85" s="15">
        <v>2011</v>
      </c>
      <c r="U85" s="349">
        <v>43517.83</v>
      </c>
      <c r="V85" s="15">
        <v>2010</v>
      </c>
      <c r="W85" s="349">
        <v>42879.81</v>
      </c>
      <c r="X85" s="15">
        <v>2009</v>
      </c>
      <c r="Y85" s="313">
        <v>42041.84</v>
      </c>
      <c r="Z85" s="340">
        <v>2008</v>
      </c>
      <c r="AA85" s="350">
        <v>42055.53</v>
      </c>
      <c r="AB85" s="15"/>
      <c r="AC85" s="15"/>
      <c r="AD85" s="19"/>
      <c r="AE85" s="313"/>
      <c r="AF85" s="19"/>
      <c r="AG85" s="351"/>
      <c r="AH85" s="15"/>
      <c r="AI85" s="15"/>
      <c r="AJ85" s="15"/>
    </row>
    <row r="86" ht="12.75" customHeight="1" spans="2:36" x14ac:dyDescent="0.25">
      <c r="B86" s="340">
        <f>B85+1</f>
        <v>2021</v>
      </c>
      <c r="C86" s="348">
        <v>58112.16</v>
      </c>
      <c r="D86" s="340">
        <f>D85+1</f>
        <v>2020</v>
      </c>
      <c r="E86" s="348">
        <v>56396.34</v>
      </c>
      <c r="F86" s="340">
        <f>F85+1</f>
        <v>2019</v>
      </c>
      <c r="G86" s="348">
        <v>54076.92</v>
      </c>
      <c r="H86" s="340">
        <f>H85+1</f>
        <v>2018</v>
      </c>
      <c r="I86" s="348">
        <v>53798.38</v>
      </c>
      <c r="J86" s="340">
        <f>J85+1</f>
        <v>2017</v>
      </c>
      <c r="K86" s="348">
        <v>51467.41</v>
      </c>
      <c r="L86" s="340">
        <f>L85+1</f>
        <v>2016</v>
      </c>
      <c r="M86" s="348">
        <v>50388.16</v>
      </c>
      <c r="N86" s="340">
        <f>N85+1</f>
        <v>2015</v>
      </c>
      <c r="O86" s="349">
        <v>49058.5</v>
      </c>
      <c r="P86" s="340">
        <f>P85+1</f>
        <v>2014</v>
      </c>
      <c r="Q86" s="349">
        <v>46832.15</v>
      </c>
      <c r="R86" s="340">
        <f>R85+1</f>
        <v>2013</v>
      </c>
      <c r="S86" s="349">
        <v>46496.2</v>
      </c>
      <c r="T86" s="15">
        <f>T85+1</f>
        <v>2012</v>
      </c>
      <c r="U86" s="349">
        <v>45435.49</v>
      </c>
      <c r="V86" s="15">
        <f>V85+1</f>
        <v>2011</v>
      </c>
      <c r="W86" s="349">
        <v>44589.32</v>
      </c>
      <c r="X86" s="15">
        <f>X85+1</f>
        <v>2010</v>
      </c>
      <c r="Y86" s="313">
        <v>43451.28</v>
      </c>
      <c r="Z86" s="340">
        <f>Z85+1</f>
        <v>2009</v>
      </c>
      <c r="AA86" s="349">
        <v>43785.97</v>
      </c>
      <c r="AB86" s="15"/>
      <c r="AC86" s="15"/>
      <c r="AD86" s="19"/>
      <c r="AE86" s="313"/>
      <c r="AF86" s="19"/>
      <c r="AG86" s="352"/>
      <c r="AH86" s="15"/>
      <c r="AI86" s="15"/>
      <c r="AJ86" s="15"/>
    </row>
    <row r="87" ht="12.75" customHeight="1" spans="2:36" x14ac:dyDescent="0.25">
      <c r="B87" s="340">
        <f>B86+1</f>
        <v>2022</v>
      </c>
      <c r="C87" s="348">
        <v>60499.07</v>
      </c>
      <c r="D87" s="340">
        <f>D86+1</f>
        <v>2021</v>
      </c>
      <c r="E87" s="348">
        <v>58914</v>
      </c>
      <c r="F87" s="340">
        <f>F86+1</f>
        <v>2020</v>
      </c>
      <c r="G87" s="348">
        <v>56534.16</v>
      </c>
      <c r="H87" s="340">
        <f>H86+1</f>
        <v>2019</v>
      </c>
      <c r="I87" s="348">
        <v>56223.6</v>
      </c>
      <c r="J87" s="340">
        <f>J86+1</f>
        <v>2018</v>
      </c>
      <c r="K87" s="348">
        <v>53929</v>
      </c>
      <c r="L87" s="340">
        <f>L86+1</f>
        <v>2017</v>
      </c>
      <c r="M87" s="348">
        <v>52937.78</v>
      </c>
      <c r="N87" s="340">
        <f>N86+1</f>
        <v>2016</v>
      </c>
      <c r="O87" s="349">
        <v>51505.89</v>
      </c>
      <c r="P87" s="340">
        <f>P86+1</f>
        <v>2015</v>
      </c>
      <c r="Q87" s="349">
        <v>49372.25</v>
      </c>
      <c r="R87" s="340">
        <f>R86+1</f>
        <v>2014</v>
      </c>
      <c r="S87" s="349">
        <v>48595.38</v>
      </c>
      <c r="T87" s="15">
        <f>T86+1</f>
        <v>2013</v>
      </c>
      <c r="U87" s="349">
        <v>47489.9</v>
      </c>
      <c r="V87" s="15">
        <f>V86+1</f>
        <v>2012</v>
      </c>
      <c r="W87" s="349">
        <v>47228.82</v>
      </c>
      <c r="X87" s="15">
        <f>X86+1</f>
        <v>2011</v>
      </c>
      <c r="Y87" s="313">
        <v>45194.92</v>
      </c>
      <c r="Z87" s="340">
        <f>Z86+1</f>
        <v>2010</v>
      </c>
      <c r="AA87" s="349">
        <v>45545.84</v>
      </c>
      <c r="AB87" s="15"/>
      <c r="AC87" s="15"/>
      <c r="AD87" s="19"/>
      <c r="AE87" s="313"/>
      <c r="AF87" s="19"/>
      <c r="AG87" s="352"/>
      <c r="AH87" s="15"/>
      <c r="AI87" s="15"/>
      <c r="AJ87" s="15"/>
    </row>
    <row r="88" ht="12.75" customHeight="1" spans="2:36" x14ac:dyDescent="0.25">
      <c r="B88" s="340">
        <f>B87+1</f>
        <v>2023</v>
      </c>
      <c r="C88" s="348">
        <v>62823.6</v>
      </c>
      <c r="D88" s="340">
        <f>D87+1</f>
        <v>2022</v>
      </c>
      <c r="E88" s="348">
        <v>61399.77</v>
      </c>
      <c r="F88" s="340">
        <f>F87+1</f>
        <v>2021</v>
      </c>
      <c r="G88" s="348">
        <v>59089.48</v>
      </c>
      <c r="H88" s="340">
        <f>H87+1</f>
        <v>2020</v>
      </c>
      <c r="I88" s="348">
        <v>58735.48</v>
      </c>
      <c r="J88" s="340">
        <f>J87+1</f>
        <v>2019</v>
      </c>
      <c r="K88" s="348">
        <v>56341.78</v>
      </c>
      <c r="L88" s="340">
        <f>L87+1</f>
        <v>2018</v>
      </c>
      <c r="M88" s="348">
        <v>55517.91</v>
      </c>
      <c r="N88" s="340">
        <f>N87+1</f>
        <v>2017</v>
      </c>
      <c r="O88" s="349">
        <v>54052.13</v>
      </c>
      <c r="P88" s="340">
        <f>P87+1</f>
        <v>2016</v>
      </c>
      <c r="Q88" s="349">
        <v>52105.87</v>
      </c>
      <c r="R88" s="340">
        <f>R87+1</f>
        <v>2015</v>
      </c>
      <c r="S88" s="349">
        <v>50892.59</v>
      </c>
      <c r="T88" s="15">
        <f>T87+1</f>
        <v>2014</v>
      </c>
      <c r="U88" s="349">
        <v>49462.43</v>
      </c>
      <c r="V88" s="15">
        <f>V87+1</f>
        <v>2013</v>
      </c>
      <c r="W88" s="353">
        <v>50100.69</v>
      </c>
      <c r="X88" s="15">
        <f>X87+1</f>
        <v>2012</v>
      </c>
      <c r="Y88" s="314">
        <v>47013.95</v>
      </c>
      <c r="Z88" s="340">
        <f>Z87+1</f>
        <v>2011</v>
      </c>
      <c r="AA88" s="353">
        <v>47341.49</v>
      </c>
      <c r="AB88" s="15"/>
      <c r="AC88" s="15"/>
      <c r="AD88" s="19"/>
      <c r="AE88" s="314"/>
      <c r="AF88" s="19"/>
      <c r="AG88" s="352"/>
      <c r="AH88" s="15"/>
      <c r="AI88" s="15"/>
      <c r="AJ88" s="15"/>
    </row>
    <row r="89" ht="12.75" customHeight="1" spans="2:36" x14ac:dyDescent="0.25">
      <c r="B89" s="340">
        <f>B88+1</f>
        <v>2024</v>
      </c>
      <c r="C89" s="348">
        <v>65207.33</v>
      </c>
      <c r="D89" s="340">
        <f>D88+1</f>
        <v>2023</v>
      </c>
      <c r="E89" s="348">
        <v>63918.72</v>
      </c>
      <c r="F89" s="340">
        <f>F88+1</f>
        <v>2022</v>
      </c>
      <c r="G89" s="348">
        <v>61705.86</v>
      </c>
      <c r="H89" s="340">
        <f>H88+1</f>
        <v>2021</v>
      </c>
      <c r="I89" s="348">
        <v>61211.89</v>
      </c>
      <c r="J89" s="340">
        <f>J88+1</f>
        <v>2020</v>
      </c>
      <c r="K89" s="348">
        <v>58754.57</v>
      </c>
      <c r="L89" s="340">
        <f>L88+1</f>
        <v>2019</v>
      </c>
      <c r="M89" s="348">
        <v>58106.9</v>
      </c>
      <c r="N89" s="340">
        <f>N88+1</f>
        <v>2018</v>
      </c>
      <c r="O89" s="349">
        <v>56590.98</v>
      </c>
      <c r="P89" s="340">
        <f>P88+1</f>
        <v>2017</v>
      </c>
      <c r="Q89" s="349">
        <v>54885.51</v>
      </c>
      <c r="R89" s="340">
        <f>R88+1</f>
        <v>2016</v>
      </c>
      <c r="S89" s="349">
        <v>55317.3</v>
      </c>
      <c r="T89" s="15">
        <f>T88+1</f>
        <v>2015</v>
      </c>
      <c r="U89" s="349">
        <v>51398.64</v>
      </c>
      <c r="V89" s="15">
        <f>V88+1</f>
        <v>2014</v>
      </c>
      <c r="W89" s="349">
        <v>52867.76</v>
      </c>
      <c r="X89" s="15">
        <f>X88+1</f>
        <v>2013</v>
      </c>
      <c r="Y89" s="313">
        <v>48969.1</v>
      </c>
      <c r="Z89" s="340">
        <f>Z88+1</f>
        <v>2012</v>
      </c>
      <c r="AA89" s="349">
        <v>49209.7</v>
      </c>
      <c r="AB89" s="15"/>
      <c r="AC89" s="15"/>
      <c r="AD89" s="19"/>
      <c r="AE89" s="313"/>
      <c r="AF89" s="19"/>
      <c r="AG89" s="352"/>
      <c r="AH89" s="15"/>
      <c r="AI89" s="15"/>
      <c r="AJ89" s="15"/>
    </row>
    <row r="90" ht="12.75" customHeight="1" spans="2:36" x14ac:dyDescent="0.25">
      <c r="B90" s="340">
        <f>B89+1</f>
        <v>2025</v>
      </c>
      <c r="C90" s="348">
        <v>67697.32</v>
      </c>
      <c r="D90" s="340">
        <f>D89+1</f>
        <v>2024</v>
      </c>
      <c r="E90" s="348">
        <v>66573.32</v>
      </c>
      <c r="F90" s="340">
        <f>F89+1</f>
        <v>2023</v>
      </c>
      <c r="G90" s="348">
        <v>64405.95</v>
      </c>
      <c r="H90" s="340">
        <f>H89+1</f>
        <v>2022</v>
      </c>
      <c r="I90" s="348">
        <v>63609.73</v>
      </c>
      <c r="J90" s="340">
        <f>J89+1</f>
        <v>2021</v>
      </c>
      <c r="K90" s="348">
        <v>61237.9</v>
      </c>
      <c r="L90" s="340">
        <f>L89+1</f>
        <v>2020</v>
      </c>
      <c r="M90" s="348">
        <v>60681.31</v>
      </c>
      <c r="N90" s="340">
        <f>N89+1</f>
        <v>2019</v>
      </c>
      <c r="O90" s="349">
        <v>59018.85</v>
      </c>
      <c r="P90" s="340">
        <f>P89+1</f>
        <v>2018</v>
      </c>
      <c r="Q90" s="349">
        <v>57617.96</v>
      </c>
      <c r="R90" s="340">
        <f>R89+1</f>
        <v>2017</v>
      </c>
      <c r="S90" s="349">
        <v>55988.97</v>
      </c>
      <c r="T90" s="15">
        <f>T89+1</f>
        <v>2016</v>
      </c>
      <c r="U90" s="349">
        <v>53430.36</v>
      </c>
      <c r="V90" s="15">
        <f>V89+1</f>
        <v>2015</v>
      </c>
      <c r="W90" s="349">
        <v>55603.42</v>
      </c>
      <c r="X90" s="15">
        <f>X89+1</f>
        <v>2014</v>
      </c>
      <c r="Y90" s="313">
        <v>50962.45</v>
      </c>
      <c r="Z90" s="340">
        <f>Z89+1</f>
        <v>2013</v>
      </c>
      <c r="AA90" s="349">
        <v>51175.39</v>
      </c>
      <c r="AB90" s="15"/>
      <c r="AC90" s="15"/>
      <c r="AD90" s="19"/>
      <c r="AE90" s="313"/>
      <c r="AF90" s="19"/>
      <c r="AG90" s="352"/>
      <c r="AH90" s="15"/>
      <c r="AI90" s="15"/>
      <c r="AJ90" s="15"/>
    </row>
    <row r="91" ht="12.75" customHeight="1" spans="2:36" x14ac:dyDescent="0.25">
      <c r="B91" s="340">
        <f>B90+1</f>
        <v>2026</v>
      </c>
      <c r="C91" s="348">
        <v>70300.71</v>
      </c>
      <c r="D91" s="340">
        <f>D90+1</f>
        <v>2025</v>
      </c>
      <c r="E91" s="348">
        <v>69374.02</v>
      </c>
      <c r="F91" s="340">
        <f>F90+1</f>
        <v>2024</v>
      </c>
      <c r="G91" s="348">
        <v>67191.23</v>
      </c>
      <c r="H91" s="340">
        <f>H90+1</f>
        <v>2023</v>
      </c>
      <c r="I91" s="348">
        <v>65987.64</v>
      </c>
      <c r="J91" s="340">
        <f>J90+1</f>
        <v>2022</v>
      </c>
      <c r="K91" s="348">
        <v>63735.69</v>
      </c>
      <c r="L91" s="340">
        <f>L90+1</f>
        <v>2021</v>
      </c>
      <c r="M91" s="348">
        <v>63345.67</v>
      </c>
      <c r="N91" s="340">
        <f>N90+1</f>
        <v>2020</v>
      </c>
      <c r="O91" s="349">
        <v>61453.22</v>
      </c>
      <c r="P91" s="340">
        <f>P90+1</f>
        <v>2019</v>
      </c>
      <c r="Q91" s="349">
        <v>60142.03</v>
      </c>
      <c r="R91" s="340">
        <f>R90+1</f>
        <v>2018</v>
      </c>
      <c r="S91" s="349">
        <v>58698.31</v>
      </c>
      <c r="T91" s="15">
        <f>T90+1</f>
        <v>2017</v>
      </c>
      <c r="U91" s="349">
        <v>55551.37</v>
      </c>
      <c r="V91" s="15">
        <f>V90+1</f>
        <v>2016</v>
      </c>
      <c r="W91" s="349">
        <v>58469.81</v>
      </c>
      <c r="X91" s="15">
        <f>X90+1</f>
        <v>2015</v>
      </c>
      <c r="Y91" s="313">
        <v>53085.22</v>
      </c>
      <c r="Z91" s="340">
        <f>Z90+1</f>
        <v>2014</v>
      </c>
      <c r="AA91" s="349">
        <v>53182.67</v>
      </c>
      <c r="AB91" s="15"/>
      <c r="AC91" s="15"/>
      <c r="AD91" s="19"/>
      <c r="AE91" s="313"/>
      <c r="AF91" s="19"/>
      <c r="AG91" s="352"/>
      <c r="AH91" s="15"/>
      <c r="AI91" s="15"/>
      <c r="AJ91" s="15"/>
    </row>
    <row r="92" ht="12.75" customHeight="1" spans="2:36" x14ac:dyDescent="0.25">
      <c r="B92" s="340">
        <f>B91+1</f>
        <v>2027</v>
      </c>
      <c r="C92" s="348">
        <v>73036.06</v>
      </c>
      <c r="D92" s="340">
        <f>D91+1</f>
        <v>2026</v>
      </c>
      <c r="E92" s="348">
        <v>70057.16</v>
      </c>
      <c r="F92" s="340">
        <f>F91+1</f>
        <v>2025</v>
      </c>
      <c r="G92" s="348">
        <v>70057.16</v>
      </c>
      <c r="H92" s="340">
        <f>H91+1</f>
        <v>2024</v>
      </c>
      <c r="I92" s="348">
        <v>68493.99</v>
      </c>
      <c r="J92" s="340">
        <f>J91+1</f>
        <v>2023</v>
      </c>
      <c r="K92" s="348">
        <v>66277.05</v>
      </c>
      <c r="L92" s="340">
        <f>L91+1</f>
        <v>2022</v>
      </c>
      <c r="M92" s="348">
        <v>66028.98</v>
      </c>
      <c r="N92" s="340">
        <f>N91+1</f>
        <v>2021</v>
      </c>
      <c r="O92" s="349">
        <v>63979.68</v>
      </c>
      <c r="P92" s="340">
        <f>P91+1</f>
        <v>2020</v>
      </c>
      <c r="Q92" s="349">
        <v>62648.35</v>
      </c>
      <c r="R92" s="340">
        <f>R91+1</f>
        <v>2019</v>
      </c>
      <c r="S92" s="349">
        <v>61178.72</v>
      </c>
      <c r="T92" s="15">
        <f>T91+1</f>
        <v>2018</v>
      </c>
      <c r="U92" s="349">
        <v>57969.43</v>
      </c>
      <c r="V92" s="15">
        <f>V91+1</f>
        <v>2017</v>
      </c>
      <c r="W92" s="349">
        <v>61242.02</v>
      </c>
      <c r="X92" s="15">
        <f>X91+1</f>
        <v>2016</v>
      </c>
      <c r="Y92" s="313">
        <v>55070.22</v>
      </c>
      <c r="Z92" s="340">
        <f>Z91+1</f>
        <v>2015</v>
      </c>
      <c r="AA92" s="349">
        <v>55225.69</v>
      </c>
      <c r="AB92" s="15"/>
      <c r="AC92" s="15"/>
      <c r="AD92" s="19"/>
      <c r="AE92" s="313"/>
      <c r="AF92" s="19"/>
      <c r="AG92" s="352"/>
      <c r="AH92" s="15"/>
      <c r="AI92" s="15"/>
      <c r="AJ92" s="15"/>
    </row>
    <row r="93" ht="12.75" customHeight="1" spans="2:36" x14ac:dyDescent="0.25">
      <c r="B93" s="340">
        <f>B92+1</f>
        <v>2028</v>
      </c>
      <c r="C93" s="348">
        <v>75872.79</v>
      </c>
      <c r="D93" s="340">
        <f>D92+1</f>
        <v>2027</v>
      </c>
      <c r="E93" s="348">
        <v>75397.14</v>
      </c>
      <c r="F93" s="340">
        <f>F92+1</f>
        <v>2026</v>
      </c>
      <c r="G93" s="348">
        <v>73003.92</v>
      </c>
      <c r="H93" s="340">
        <f>H92+1</f>
        <v>2025</v>
      </c>
      <c r="I93" s="348">
        <v>71119.99</v>
      </c>
      <c r="J93" s="340">
        <f>J92+1</f>
        <v>2024</v>
      </c>
      <c r="K93" s="348">
        <v>68727.5</v>
      </c>
      <c r="L93" s="340">
        <f>L92+1</f>
        <v>2023</v>
      </c>
      <c r="M93" s="348">
        <v>68727.5</v>
      </c>
      <c r="N93" s="340">
        <f>N92+1</f>
        <v>2022</v>
      </c>
      <c r="O93" s="349">
        <v>66556.71</v>
      </c>
      <c r="P93" s="340">
        <f>P92+1</f>
        <v>2021</v>
      </c>
      <c r="Q93" s="349">
        <v>65241.02</v>
      </c>
      <c r="R93" s="340">
        <f>R92+1</f>
        <v>2020</v>
      </c>
      <c r="S93" s="349">
        <v>63675.71</v>
      </c>
      <c r="T93" s="15">
        <f>T92+1</f>
        <v>2019</v>
      </c>
      <c r="U93" s="349">
        <v>60406.32</v>
      </c>
      <c r="V93" s="15">
        <f>V92+1</f>
        <v>2018</v>
      </c>
      <c r="W93" s="349">
        <v>64147.61</v>
      </c>
      <c r="X93" s="15">
        <f>X92+1</f>
        <v>2017</v>
      </c>
      <c r="Y93" s="313">
        <v>57165.32</v>
      </c>
      <c r="Z93" s="340">
        <f>Z92+1</f>
        <v>2016</v>
      </c>
      <c r="AA93" s="349">
        <v>57338.08</v>
      </c>
      <c r="AB93" s="15"/>
      <c r="AC93" s="15"/>
      <c r="AD93" s="19"/>
      <c r="AE93" s="313"/>
      <c r="AF93" s="19"/>
      <c r="AG93" s="352"/>
      <c r="AH93" s="15"/>
      <c r="AI93" s="15"/>
      <c r="AJ93" s="15"/>
    </row>
    <row r="94" ht="12.75" customHeight="1" spans="2:36" x14ac:dyDescent="0.25">
      <c r="B94" s="340">
        <f>B93+1</f>
        <v>2029</v>
      </c>
      <c r="C94" s="348">
        <v>78696.64</v>
      </c>
      <c r="D94" s="340">
        <f>D93+1</f>
        <v>2028</v>
      </c>
      <c r="E94" s="348">
        <v>78425.26</v>
      </c>
      <c r="F94" s="340">
        <f>F93+1</f>
        <v>2027</v>
      </c>
      <c r="G94" s="348">
        <v>75908.24</v>
      </c>
      <c r="H94" s="340">
        <f>H93+1</f>
        <v>2026</v>
      </c>
      <c r="I94" s="348">
        <v>73835.3</v>
      </c>
      <c r="J94" s="340">
        <f>J93+1</f>
        <v>2025</v>
      </c>
      <c r="K94" s="348">
        <v>68952.47</v>
      </c>
      <c r="L94" s="340">
        <f>L93+1</f>
        <v>2024</v>
      </c>
      <c r="M94" s="348">
        <v>71429.77</v>
      </c>
      <c r="N94" s="340">
        <f>N93+1</f>
        <v>2023</v>
      </c>
      <c r="O94" s="349">
        <v>69129.06</v>
      </c>
      <c r="P94" s="340">
        <f>P93+1</f>
        <v>2022</v>
      </c>
      <c r="Q94" s="349">
        <v>67786.09</v>
      </c>
      <c r="R94" s="340">
        <f>R93+1</f>
        <v>2021</v>
      </c>
      <c r="S94" s="349">
        <v>66160.67</v>
      </c>
      <c r="T94" s="15">
        <f>T93+1</f>
        <v>2020</v>
      </c>
      <c r="U94" s="349">
        <v>62760.16</v>
      </c>
      <c r="V94" s="15">
        <f>V93+1</f>
        <v>2019</v>
      </c>
      <c r="W94" s="349">
        <v>67083.66</v>
      </c>
      <c r="X94" s="15">
        <f>X93+1</f>
        <v>2018</v>
      </c>
      <c r="Y94" s="313">
        <v>59362.72</v>
      </c>
      <c r="Z94" s="340">
        <f>Z93+1</f>
        <v>2017</v>
      </c>
      <c r="AA94" s="349">
        <v>59521.49</v>
      </c>
      <c r="AB94" s="15"/>
      <c r="AC94" s="15"/>
      <c r="AD94" s="19"/>
      <c r="AE94" s="313"/>
      <c r="AF94" s="19"/>
      <c r="AG94" s="352"/>
      <c r="AH94" s="15"/>
      <c r="AI94" s="15"/>
      <c r="AJ94" s="15"/>
    </row>
    <row r="95" ht="12.75" customHeight="1" spans="2:36" x14ac:dyDescent="0.25">
      <c r="B95" s="354">
        <v>2025</v>
      </c>
      <c r="C95" s="355">
        <v>67697.32</v>
      </c>
      <c r="D95" s="354">
        <v>2025</v>
      </c>
      <c r="E95" s="355">
        <v>70057.16</v>
      </c>
      <c r="F95" s="354">
        <v>2025</v>
      </c>
      <c r="G95" s="355">
        <v>70057.16</v>
      </c>
      <c r="H95" s="354">
        <v>2025</v>
      </c>
      <c r="I95" s="355">
        <v>71119.99</v>
      </c>
      <c r="J95" s="340">
        <v>2025</v>
      </c>
      <c r="K95" s="348">
        <v>71668.95</v>
      </c>
      <c r="L95" s="340">
        <v>2025</v>
      </c>
      <c r="M95" s="348">
        <v>74191.44</v>
      </c>
      <c r="N95" s="340">
        <f>N94+1</f>
        <v>2024</v>
      </c>
      <c r="O95" s="356">
        <f>O94*(1+$O$114)</f>
        <v>71765.6423484</v>
      </c>
      <c r="P95" s="340">
        <f>P94+1</f>
        <v>2023</v>
      </c>
      <c r="Q95" s="356">
        <f>Q94*(1+$Q$114)</f>
        <v>70399.9216304</v>
      </c>
      <c r="R95" s="340">
        <f>R94+1</f>
        <v>2022</v>
      </c>
      <c r="S95" s="356">
        <f>S94*(1+$S$114)</f>
        <v>68680.7299203</v>
      </c>
      <c r="T95" s="15">
        <f>T94+1</f>
        <v>2021</v>
      </c>
      <c r="U95" s="356">
        <v>65195.25</v>
      </c>
      <c r="V95" s="15">
        <f>V94+1</f>
        <v>2020</v>
      </c>
      <c r="W95" s="357">
        <f>W94*(1+$V$56)</f>
        <v>69767.0064</v>
      </c>
      <c r="X95" s="15">
        <f>X94+1</f>
        <v>2019</v>
      </c>
      <c r="Y95" s="358">
        <f>Y94*(1+$X$56)</f>
        <v>61677.86608</v>
      </c>
      <c r="Z95" s="340">
        <f>Z94+1</f>
        <v>2018</v>
      </c>
      <c r="AA95" s="349">
        <v>61811.56</v>
      </c>
      <c r="AB95" s="15"/>
      <c r="AC95" s="15"/>
      <c r="AD95" s="19"/>
      <c r="AE95" s="359"/>
      <c r="AF95" s="19"/>
      <c r="AG95" s="352"/>
      <c r="AH95" s="15"/>
      <c r="AI95" s="15"/>
      <c r="AJ95" s="15"/>
    </row>
    <row r="96" ht="12.75" customHeight="1" spans="2:36" x14ac:dyDescent="0.25">
      <c r="B96" s="340">
        <v>2026</v>
      </c>
      <c r="C96" s="360">
        <f>C95*(1+C$114)</f>
        <v>70269.1411868</v>
      </c>
      <c r="D96" s="340">
        <v>2026</v>
      </c>
      <c r="E96" s="360">
        <f>E95*(1+E$114)</f>
        <v>72761.366376</v>
      </c>
      <c r="F96" s="340">
        <v>2026</v>
      </c>
      <c r="G96" s="356">
        <f>G95*(1+G$114)</f>
        <v>72838.429252</v>
      </c>
      <c r="H96" s="340">
        <v>2026</v>
      </c>
      <c r="I96" s="356">
        <f>I95*(1+$I$114)</f>
        <v>73870.2000133</v>
      </c>
      <c r="J96" s="340">
        <v>2026</v>
      </c>
      <c r="K96" s="356">
        <f>K95*(1+$K$114)</f>
        <v>74456.872155</v>
      </c>
      <c r="L96" s="340">
        <v>2026</v>
      </c>
      <c r="M96" s="356">
        <f>M95*(1+$M$114)</f>
        <v>77094.5510472</v>
      </c>
      <c r="N96" s="340">
        <f>N95+1</f>
        <v>2025</v>
      </c>
      <c r="O96" s="361">
        <f>O95*(1+$O$114)</f>
        <v>74502.783947568</v>
      </c>
      <c r="P96" s="340">
        <f>P95+1</f>
        <v>2024</v>
      </c>
      <c r="Q96" s="356">
        <f>Q95*(1+$Q$114)</f>
        <v>73114.5426084682</v>
      </c>
      <c r="R96" s="340">
        <f>R95+1</f>
        <v>2023</v>
      </c>
      <c r="S96" s="356">
        <f>S95*(1+$S$114)</f>
        <v>71296.7789229642</v>
      </c>
      <c r="T96" s="15">
        <f>T95+1</f>
        <v>2022</v>
      </c>
      <c r="U96" s="356">
        <v>67724.83</v>
      </c>
      <c r="V96" s="15">
        <f>V95+1</f>
        <v>2021</v>
      </c>
      <c r="W96" s="357">
        <f>W95*(1+$V$56)</f>
        <v>72557.686656</v>
      </c>
      <c r="X96" s="15">
        <f>X95+1</f>
        <v>2020</v>
      </c>
      <c r="Y96" s="358">
        <f>Y95*(1+$X$56)</f>
        <v>64083.30285712</v>
      </c>
      <c r="Z96" s="340">
        <f>Z95+1</f>
        <v>2019</v>
      </c>
      <c r="AA96" s="349">
        <v>64205.77</v>
      </c>
      <c r="AB96" s="15"/>
      <c r="AC96" s="15"/>
      <c r="AD96" s="19"/>
      <c r="AE96" s="359"/>
      <c r="AF96" s="19"/>
      <c r="AG96" s="352"/>
      <c r="AH96" s="15"/>
      <c r="AI96" s="15"/>
      <c r="AJ96" s="15"/>
    </row>
    <row r="97" ht="12.75" customHeight="1" spans="2:36" x14ac:dyDescent="0.25">
      <c r="B97" s="340">
        <f>B96+1</f>
        <v>2027</v>
      </c>
      <c r="C97" s="360">
        <f>C96*(1+C$114)</f>
        <v>72938.6658604865</v>
      </c>
      <c r="D97" s="340">
        <f>D96+1</f>
        <v>2027</v>
      </c>
      <c r="E97" s="360">
        <f>E96*(1+E$114)</f>
        <v>75569.9551181136</v>
      </c>
      <c r="F97" s="340">
        <f>F96+1</f>
        <v>2027</v>
      </c>
      <c r="G97" s="356">
        <f>G96*(1+G$114)</f>
        <v>75730.1148933044</v>
      </c>
      <c r="H97" s="340">
        <f>H96+1</f>
        <v>2027</v>
      </c>
      <c r="I97" s="356">
        <f>I96*(1+$I$114)</f>
        <v>76726.7606478143</v>
      </c>
      <c r="J97" s="340">
        <f>J96+1</f>
        <v>2027</v>
      </c>
      <c r="K97" s="356">
        <f>K96*(1+$K$114)</f>
        <v>77353.2444818295</v>
      </c>
      <c r="L97" s="340">
        <f>L96+1</f>
        <v>2027</v>
      </c>
      <c r="M97" s="356">
        <f>M96*(1+$M$114)</f>
        <v>80111.260829677</v>
      </c>
      <c r="N97" s="340">
        <v>2025</v>
      </c>
      <c r="O97" s="349">
        <v>74502.16</v>
      </c>
      <c r="P97" s="340">
        <f>P96+1</f>
        <v>2025</v>
      </c>
      <c r="Q97" s="361">
        <f>Q96*(1+$Q$114)</f>
        <v>75933.8393714507</v>
      </c>
      <c r="R97" s="340">
        <f>R96+1</f>
        <v>2024</v>
      </c>
      <c r="S97" s="356">
        <f>S96*(1+$S$114)</f>
        <v>74012.4732321399</v>
      </c>
      <c r="T97" s="15">
        <f>T96+1</f>
        <v>2023</v>
      </c>
      <c r="U97" s="356">
        <v>70352.55</v>
      </c>
      <c r="V97" s="15">
        <f>V96+1</f>
        <v>2022</v>
      </c>
      <c r="W97" s="357">
        <f>W96*(1+$V$56)</f>
        <v>75459.99412224</v>
      </c>
      <c r="X97" s="15">
        <f>X96+1</f>
        <v>2021</v>
      </c>
      <c r="Y97" s="358">
        <f>Y96*(1+$X$56)</f>
        <v>66582.5516685477</v>
      </c>
      <c r="Z97" s="340">
        <f>Z96+1</f>
        <v>2020</v>
      </c>
      <c r="AA97" s="349">
        <v>66681.9</v>
      </c>
      <c r="AB97" s="15"/>
      <c r="AC97" s="15"/>
      <c r="AD97" s="19"/>
      <c r="AE97" s="359"/>
      <c r="AF97" s="19"/>
      <c r="AG97" s="352"/>
      <c r="AH97" s="15"/>
      <c r="AI97" s="15"/>
      <c r="AJ97" s="15"/>
    </row>
    <row r="98" ht="12.75" customHeight="1" spans="2:36" x14ac:dyDescent="0.25">
      <c r="B98" s="340">
        <f>B97+1</f>
        <v>2028</v>
      </c>
      <c r="C98" s="360">
        <f>C97*(1+C$114)</f>
        <v>75709.6057765264</v>
      </c>
      <c r="D98" s="340">
        <f>D97+1</f>
        <v>2028</v>
      </c>
      <c r="E98" s="360">
        <f>E97*(1+E$114)</f>
        <v>78486.9553856728</v>
      </c>
      <c r="F98" s="340">
        <f>F97+1</f>
        <v>2028</v>
      </c>
      <c r="G98" s="356">
        <f>G97*(1+G$114)</f>
        <v>78736.6004545686</v>
      </c>
      <c r="H98" s="340">
        <f>H97+1</f>
        <v>2028</v>
      </c>
      <c r="I98" s="356">
        <f>I97*(1+$I$114)</f>
        <v>79693.7844820653</v>
      </c>
      <c r="J98" s="340">
        <f>J97+1</f>
        <v>2028</v>
      </c>
      <c r="K98" s="356">
        <f>K97*(1+$K$114)</f>
        <v>80362.2856921727</v>
      </c>
      <c r="L98" s="340">
        <f>L97+1</f>
        <v>2028</v>
      </c>
      <c r="M98" s="356">
        <f>M97*(1+$M$114)</f>
        <v>83246.0144659422</v>
      </c>
      <c r="N98" s="340">
        <f>N97+1</f>
        <v>2026</v>
      </c>
      <c r="O98" s="356">
        <f>O97*(1+$O$115)</f>
        <v>77431.5849312</v>
      </c>
      <c r="P98" s="340">
        <v>2025</v>
      </c>
      <c r="Q98" s="349">
        <v>75933.65</v>
      </c>
      <c r="R98" s="340">
        <v>2025</v>
      </c>
      <c r="S98" s="361">
        <f>S97*(1+$S$114)</f>
        <v>76831.6083375521</v>
      </c>
      <c r="T98" s="15"/>
      <c r="U98" s="356"/>
      <c r="V98" s="15"/>
      <c r="W98" s="357"/>
      <c r="X98" s="15"/>
      <c r="Y98" s="358"/>
      <c r="Z98" s="340"/>
      <c r="AA98" s="349"/>
      <c r="AB98" s="15"/>
      <c r="AC98" s="15"/>
      <c r="AD98" s="19"/>
      <c r="AE98" s="359"/>
      <c r="AF98" s="19"/>
      <c r="AG98" s="352"/>
      <c r="AH98" s="15"/>
      <c r="AI98" s="15"/>
      <c r="AJ98" s="15"/>
    </row>
    <row r="99" ht="12.75" customHeight="1" spans="2:36" x14ac:dyDescent="0.25">
      <c r="B99" s="340">
        <f>B98+1</f>
        <v>2029</v>
      </c>
      <c r="C99" s="356">
        <f>C98*(1+C$114)</f>
        <v>78585.8136999766</v>
      </c>
      <c r="D99" s="340">
        <f>D98+1</f>
        <v>2029</v>
      </c>
      <c r="E99" s="356">
        <f>E98*(1+E$114)</f>
        <v>81516.5518635598</v>
      </c>
      <c r="F99" s="340">
        <f>F98+1</f>
        <v>2029</v>
      </c>
      <c r="G99" s="356">
        <f>G98*(1+G$114)</f>
        <v>81862.443492615</v>
      </c>
      <c r="H99" s="340">
        <f>H98+1</f>
        <v>2029</v>
      </c>
      <c r="I99" s="356">
        <f>I98*(1+$I$114)</f>
        <v>82775.5431279868</v>
      </c>
      <c r="J99" s="340">
        <f>J98+1</f>
        <v>2029</v>
      </c>
      <c r="K99" s="356">
        <f>K98*(1+$K$114)</f>
        <v>83488.3786055982</v>
      </c>
      <c r="L99" s="340">
        <f>L98+1</f>
        <v>2029</v>
      </c>
      <c r="M99" s="356">
        <f>M98*(1+$M$114)</f>
        <v>86503.4310119946</v>
      </c>
      <c r="N99" s="340">
        <f>N98+1</f>
        <v>2027</v>
      </c>
      <c r="O99" s="356">
        <f>O98*(1+$O$115)</f>
        <v>80476.1948506948</v>
      </c>
      <c r="P99" s="340">
        <f>P97+1</f>
        <v>2026</v>
      </c>
      <c r="Q99" s="356">
        <f>Q98*(1+$Q$115)</f>
        <v>78965.6806445</v>
      </c>
      <c r="R99" s="340">
        <f>R97+1</f>
        <v>2025</v>
      </c>
      <c r="S99" s="349">
        <v>76830.87</v>
      </c>
      <c r="T99" s="15">
        <f>T97+1</f>
        <v>2024</v>
      </c>
      <c r="U99" s="356">
        <v>73082.23</v>
      </c>
      <c r="V99" s="15">
        <f>V97+1</f>
        <v>2023</v>
      </c>
      <c r="W99" s="357">
        <f>W97*(1+$V$56)</f>
        <v>78478.3938871296</v>
      </c>
      <c r="X99" s="15">
        <f>X97+1</f>
        <v>2022</v>
      </c>
      <c r="Y99" s="358">
        <f>Y97*(1+$X$56)</f>
        <v>69179.271183621</v>
      </c>
      <c r="Z99" s="340">
        <f>Z97+1</f>
        <v>2021</v>
      </c>
      <c r="AA99" s="349">
        <v>69244.18</v>
      </c>
      <c r="AB99" s="15"/>
      <c r="AC99" s="15"/>
      <c r="AD99" s="19"/>
      <c r="AE99" s="359"/>
      <c r="AF99" s="19"/>
      <c r="AG99" s="352"/>
      <c r="AH99" s="15"/>
      <c r="AI99" s="15"/>
      <c r="AJ99" s="15"/>
    </row>
    <row r="100" ht="12.75" customHeight="1" spans="2:36" x14ac:dyDescent="0.25">
      <c r="B100" s="340">
        <f>B99+1</f>
        <v>2030</v>
      </c>
      <c r="C100" s="361">
        <f>C99*(1+C$114)</f>
        <v>81571.2887624387</v>
      </c>
      <c r="D100" s="340">
        <f>D99+1</f>
        <v>2030</v>
      </c>
      <c r="E100" s="361">
        <f>E99*(1+E$114)</f>
        <v>84663.0907654932</v>
      </c>
      <c r="F100" s="340">
        <f>F99+1</f>
        <v>2030</v>
      </c>
      <c r="G100" s="361">
        <f>G99*(1+G$114)</f>
        <v>85112.3824992718</v>
      </c>
      <c r="H100" s="340">
        <f>H99+1</f>
        <v>2030</v>
      </c>
      <c r="I100" s="361">
        <f>I99*(1+$I$114)</f>
        <v>85976.473380746</v>
      </c>
      <c r="J100" s="340">
        <f>J99+1</f>
        <v>2030</v>
      </c>
      <c r="K100" s="361">
        <f>K99*(1+$K$114)</f>
        <v>86736.0765333559</v>
      </c>
      <c r="L100" s="340">
        <f>L99+1</f>
        <v>2030</v>
      </c>
      <c r="M100" s="361">
        <f>M99*(1+$M$114)</f>
        <v>89888.3102674939</v>
      </c>
      <c r="N100" s="340">
        <f>N99+1</f>
        <v>2028</v>
      </c>
      <c r="O100" s="356">
        <f>O99*(1+$O$115)</f>
        <v>83640.5188322241</v>
      </c>
      <c r="P100" s="340">
        <f>P99+1</f>
        <v>2027</v>
      </c>
      <c r="Q100" s="356">
        <f>Q99*(1+$Q$115)</f>
        <v>82118.7802726349</v>
      </c>
      <c r="R100" s="340">
        <f>R99+1</f>
        <v>2026</v>
      </c>
      <c r="S100" s="356">
        <f>S99*(1+$S$115)</f>
        <v>79855.7013519</v>
      </c>
      <c r="T100" s="15">
        <f>T99+1</f>
        <v>2025</v>
      </c>
      <c r="U100" s="349">
        <v>75917.46</v>
      </c>
      <c r="V100" s="15">
        <f>V99+1</f>
        <v>2024</v>
      </c>
      <c r="W100" s="357">
        <f>W99*(1+$V$56)</f>
        <v>81617.5296426148</v>
      </c>
      <c r="X100" s="15">
        <f>X99+1</f>
        <v>2023</v>
      </c>
      <c r="Y100" s="358">
        <f>Y99*(1+$X$56)</f>
        <v>71877.2627597823</v>
      </c>
      <c r="Z100" s="340">
        <f>Z99+1</f>
        <v>2022</v>
      </c>
      <c r="AA100" s="349">
        <v>71904.92</v>
      </c>
      <c r="AB100" s="15"/>
      <c r="AC100" s="15"/>
      <c r="AD100" s="19"/>
      <c r="AE100" s="359"/>
      <c r="AF100" s="19"/>
      <c r="AG100" s="352"/>
      <c r="AH100" s="15"/>
      <c r="AI100" s="15"/>
      <c r="AJ100" s="15"/>
    </row>
    <row r="101" ht="12.75" customHeight="1" spans="2:36" x14ac:dyDescent="0.25">
      <c r="B101" s="340">
        <v>2030</v>
      </c>
      <c r="C101" s="362">
        <v>81571.95</v>
      </c>
      <c r="D101" s="340">
        <v>2030</v>
      </c>
      <c r="E101" s="362">
        <v>84662.22</v>
      </c>
      <c r="F101" s="340">
        <v>2030</v>
      </c>
      <c r="G101" s="362">
        <v>85114.16</v>
      </c>
      <c r="H101" s="340">
        <v>2030</v>
      </c>
      <c r="I101" s="362">
        <v>85975.35</v>
      </c>
      <c r="J101" s="340">
        <v>2030</v>
      </c>
      <c r="K101" s="348">
        <v>86735.71</v>
      </c>
      <c r="L101" s="340">
        <v>2030</v>
      </c>
      <c r="M101" s="348">
        <v>89887.89</v>
      </c>
      <c r="N101" s="340">
        <f>N100+1</f>
        <v>2029</v>
      </c>
      <c r="O101" s="356">
        <f>O100*(1+$O$115)</f>
        <v>86929.2640327072</v>
      </c>
      <c r="P101" s="340">
        <f>P100+1</f>
        <v>2028</v>
      </c>
      <c r="Q101" s="356">
        <f>Q100*(1+$Q$115)</f>
        <v>85397.7831689212</v>
      </c>
      <c r="R101" s="340">
        <f>R100+1</f>
        <v>2027</v>
      </c>
      <c r="S101" s="356">
        <f>S100*(1+$S$115)</f>
        <v>82999.6203141243</v>
      </c>
      <c r="T101" s="15">
        <f>T100+1</f>
        <v>2026</v>
      </c>
      <c r="U101" s="356">
        <f>U100*(1+$V$56)</f>
        <v>78954.1584</v>
      </c>
      <c r="V101" s="15">
        <f>V100+1</f>
        <v>2025</v>
      </c>
      <c r="W101" s="357">
        <f>W100*(1+$V$56)</f>
        <v>84882.2308283194</v>
      </c>
      <c r="X101" s="15">
        <f>X100+1</f>
        <v>2024</v>
      </c>
      <c r="Y101" s="358">
        <f>Y100*(1+$X$56)</f>
        <v>74680.4760074138</v>
      </c>
      <c r="Z101" s="340">
        <f>Z100+1</f>
        <v>2023</v>
      </c>
      <c r="AA101" s="349">
        <v>74683.41</v>
      </c>
      <c r="AB101" s="15"/>
      <c r="AC101" s="15"/>
      <c r="AD101" s="19"/>
      <c r="AE101" s="359"/>
      <c r="AF101" s="19"/>
      <c r="AG101" s="352"/>
      <c r="AH101" s="15"/>
      <c r="AI101" s="15"/>
      <c r="AJ101" s="15"/>
    </row>
    <row r="102" ht="12.75" customHeight="1" spans="2:36" x14ac:dyDescent="0.25">
      <c r="B102" s="340">
        <f>B101+1</f>
        <v>2031</v>
      </c>
      <c r="C102" s="356">
        <f>C101*(1+C$115)</f>
        <v>84543.6161385</v>
      </c>
      <c r="D102" s="340">
        <f>D101+1</f>
        <v>2031</v>
      </c>
      <c r="E102" s="356">
        <f>E101*(1+E$115)</f>
        <v>87960.6600912</v>
      </c>
      <c r="F102" s="340">
        <f>F101+1</f>
        <v>2031</v>
      </c>
      <c r="G102" s="356">
        <f>G101*(1+G$115)</f>
        <v>88424.2496824</v>
      </c>
      <c r="H102" s="340">
        <f>H101+1</f>
        <v>2031</v>
      </c>
      <c r="I102" s="356">
        <f>I101*(1+$I$115)</f>
        <v>89308.6143195</v>
      </c>
      <c r="J102" s="340">
        <f>J101+1</f>
        <v>2031</v>
      </c>
      <c r="K102" s="356">
        <f>K101*(1+$K$115)</f>
        <v>90099.3208338</v>
      </c>
      <c r="L102" s="340">
        <f>L101+1</f>
        <v>2031</v>
      </c>
      <c r="M102" s="356">
        <f>M101*(1+$M$115)</f>
        <v>93402.506499</v>
      </c>
      <c r="N102" s="340">
        <f>N101+1</f>
        <v>2030</v>
      </c>
      <c r="O102" s="361">
        <f>O101*(1+$O$115)</f>
        <v>90347.3226944732</v>
      </c>
      <c r="P102" s="340">
        <f>P101+1</f>
        <v>2029</v>
      </c>
      <c r="Q102" s="356">
        <f>Q101*(1+$Q$115)</f>
        <v>88807.7166508562</v>
      </c>
      <c r="R102" s="340">
        <f>R101+1</f>
        <v>2028</v>
      </c>
      <c r="S102" s="356">
        <f>S101*(1+$S$115)</f>
        <v>86267.3153658914</v>
      </c>
      <c r="T102" s="15"/>
      <c r="U102" s="356"/>
      <c r="V102" s="15"/>
      <c r="W102" s="358"/>
      <c r="X102" s="15"/>
      <c r="Y102" s="358"/>
      <c r="Z102" s="15"/>
      <c r="AA102" s="313"/>
      <c r="AB102" s="15"/>
      <c r="AC102" s="15"/>
      <c r="AD102" s="19"/>
      <c r="AE102" s="359"/>
      <c r="AF102" s="19"/>
      <c r="AG102" s="352"/>
      <c r="AH102" s="15"/>
      <c r="AI102" s="15"/>
      <c r="AJ102" s="15"/>
    </row>
    <row r="103" ht="12.75" customHeight="1" spans="2:36" x14ac:dyDescent="0.25">
      <c r="B103" s="340">
        <f>B102+1</f>
        <v>2032</v>
      </c>
      <c r="C103" s="356">
        <f>C102*(1+C$115)</f>
        <v>87623.5400744255</v>
      </c>
      <c r="D103" s="340">
        <f>D102+1</f>
        <v>2032</v>
      </c>
      <c r="E103" s="356">
        <f>E102*(1+E$115)</f>
        <v>91387.6074083532</v>
      </c>
      <c r="F103" s="340">
        <f>F102+1</f>
        <v>2032</v>
      </c>
      <c r="G103" s="356">
        <f>G102*(1+G$115)</f>
        <v>91863.0687525486</v>
      </c>
      <c r="H103" s="340">
        <f>H102+1</f>
        <v>2032</v>
      </c>
      <c r="I103" s="356">
        <f>I102*(1+$I$115)</f>
        <v>92771.109296667</v>
      </c>
      <c r="J103" s="340">
        <f>J102+1</f>
        <v>2032</v>
      </c>
      <c r="K103" s="356">
        <f>K102*(1+$K$115)</f>
        <v>93593.3724957348</v>
      </c>
      <c r="L103" s="340">
        <f>L102+1</f>
        <v>2032</v>
      </c>
      <c r="M103" s="356">
        <f>M102*(1+$M$115)</f>
        <v>97054.5445031109</v>
      </c>
      <c r="N103" s="340">
        <v>2030</v>
      </c>
      <c r="O103" s="349">
        <v>90348.8</v>
      </c>
      <c r="P103" s="340">
        <f>P102+1</f>
        <v>2030</v>
      </c>
      <c r="Q103" s="361">
        <f>Q102*(1+$Q$115)</f>
        <v>92353.8087767249</v>
      </c>
      <c r="R103" s="340">
        <f>R102+1</f>
        <v>2029</v>
      </c>
      <c r="S103" s="356">
        <f>S102*(1+$S$115)</f>
        <v>89663.6595718465</v>
      </c>
      <c r="T103" s="15"/>
      <c r="U103" s="356"/>
      <c r="V103" s="15"/>
      <c r="W103" s="358"/>
      <c r="X103" s="15"/>
      <c r="Y103" s="358"/>
      <c r="Z103" s="15"/>
      <c r="AA103" s="313"/>
      <c r="AB103" s="15"/>
      <c r="AC103" s="15"/>
      <c r="AD103" s="19"/>
      <c r="AE103" s="359"/>
      <c r="AF103" s="19"/>
      <c r="AG103" s="352"/>
      <c r="AH103" s="15"/>
      <c r="AI103" s="15"/>
      <c r="AJ103" s="15"/>
    </row>
    <row r="104" ht="12.75" customHeight="1" spans="2:36" x14ac:dyDescent="0.25">
      <c r="B104" s="340">
        <f>B103+1</f>
        <v>2033</v>
      </c>
      <c r="C104" s="356">
        <f>C103*(1+C$115)</f>
        <v>90815.6656393369</v>
      </c>
      <c r="D104" s="340">
        <f>D103+1</f>
        <v>2033</v>
      </c>
      <c r="E104" s="356">
        <f>E103*(1+E$115)</f>
        <v>94948.0685929826</v>
      </c>
      <c r="F104" s="340">
        <f>F103+1</f>
        <v>2033</v>
      </c>
      <c r="G104" s="356">
        <f>G103*(1+G$115)</f>
        <v>95435.6234963352</v>
      </c>
      <c r="H104" s="340">
        <f>H103+1</f>
        <v>2033</v>
      </c>
      <c r="I104" s="356">
        <f>I103*(1+$I$115)</f>
        <v>96367.8452040988</v>
      </c>
      <c r="J104" s="340">
        <f>J103+1</f>
        <v>2033</v>
      </c>
      <c r="K104" s="356">
        <f>K103*(1+$K$115)</f>
        <v>97222.9234811194</v>
      </c>
      <c r="L104" s="340">
        <f>L103+1</f>
        <v>2033</v>
      </c>
      <c r="M104" s="356">
        <f>M103*(1+$M$115)</f>
        <v>100849.377193183</v>
      </c>
      <c r="N104" s="340">
        <f>N103+1</f>
        <v>2031</v>
      </c>
      <c r="O104" s="356">
        <f>O103*(1+$O$115)</f>
        <v>93901.314816</v>
      </c>
      <c r="P104" s="340">
        <v>2030</v>
      </c>
      <c r="Q104" s="349">
        <v>92352.03</v>
      </c>
      <c r="R104" s="340">
        <v>2030</v>
      </c>
      <c r="S104" s="361">
        <f>S103*(1+$S$115)</f>
        <v>93193.7178491901</v>
      </c>
      <c r="T104" s="15"/>
      <c r="U104" s="356"/>
      <c r="V104" s="15"/>
      <c r="W104" s="358"/>
      <c r="X104" s="15"/>
      <c r="Y104" s="358"/>
      <c r="Z104" s="15"/>
      <c r="AA104" s="313"/>
      <c r="AB104" s="15"/>
      <c r="AC104" s="15"/>
      <c r="AD104" s="19"/>
      <c r="AE104" s="359"/>
      <c r="AF104" s="19"/>
      <c r="AG104" s="352"/>
      <c r="AH104" s="15"/>
      <c r="AI104" s="15"/>
      <c r="AJ104" s="15"/>
    </row>
    <row r="105" ht="12.75" customHeight="1" spans="2:36" x14ac:dyDescent="0.25">
      <c r="B105" s="340">
        <f>B104+1</f>
        <v>2034</v>
      </c>
      <c r="C105" s="356">
        <f>C104*(1+C$115)</f>
        <v>94124.0803385779</v>
      </c>
      <c r="D105" s="340">
        <f>D104+1</f>
        <v>2034</v>
      </c>
      <c r="E105" s="356">
        <f>E104*(1+E$115)</f>
        <v>98647.2453453652</v>
      </c>
      <c r="F105" s="340">
        <f>F104+1</f>
        <v>2034</v>
      </c>
      <c r="G105" s="356">
        <f>G104*(1+G$115)</f>
        <v>99147.1148941077</v>
      </c>
      <c r="H105" s="340">
        <f>H104+1</f>
        <v>2034</v>
      </c>
      <c r="I105" s="356">
        <f>I104*(1+$I$115)</f>
        <v>100104.026562662</v>
      </c>
      <c r="J105" s="340">
        <f>J104+1</f>
        <v>2034</v>
      </c>
      <c r="K105" s="356">
        <f>K104*(1+$K$115)</f>
        <v>100993.228453717</v>
      </c>
      <c r="L105" s="340">
        <f>L104+1</f>
        <v>2034</v>
      </c>
      <c r="M105" s="356">
        <f>M104*(1+$M$115)</f>
        <v>104792.587841436</v>
      </c>
      <c r="N105" s="340">
        <f>N100+1</f>
        <v>2029</v>
      </c>
      <c r="O105" s="356">
        <f>O100*(1+$O$115)</f>
        <v>86929.2640327072</v>
      </c>
      <c r="P105" s="340">
        <f>P99+1</f>
        <v>2027</v>
      </c>
      <c r="Q105" s="356">
        <f>Q100*(1+$Q$115)</f>
        <v>85397.7831689212</v>
      </c>
      <c r="R105" s="340">
        <f>R99+1</f>
        <v>2026</v>
      </c>
      <c r="S105" s="349">
        <v>93192.94</v>
      </c>
      <c r="T105" s="15"/>
      <c r="U105" s="356"/>
      <c r="V105" s="15"/>
      <c r="W105" s="358"/>
      <c r="X105" s="15"/>
      <c r="Y105" s="358"/>
      <c r="Z105" s="15"/>
      <c r="AA105" s="313"/>
      <c r="AB105" s="15"/>
      <c r="AC105" s="15"/>
      <c r="AD105" s="19"/>
      <c r="AE105" s="359"/>
      <c r="AF105" s="19"/>
      <c r="AG105" s="352"/>
      <c r="AH105" s="15"/>
      <c r="AI105" s="15"/>
      <c r="AJ105" s="15"/>
    </row>
    <row r="106" ht="12.75" customHeight="1" spans="2:36" x14ac:dyDescent="0.25">
      <c r="B106" s="340">
        <f>B105+1</f>
        <v>2035</v>
      </c>
      <c r="C106" s="361">
        <f>C105*(1+C$115)</f>
        <v>97553.0205853123</v>
      </c>
      <c r="D106" s="340">
        <f>D105+1</f>
        <v>2035</v>
      </c>
      <c r="E106" s="361">
        <f>E105*(1+E$115)</f>
        <v>102490.542024021</v>
      </c>
      <c r="F106" s="340">
        <f>F105+1</f>
        <v>2035</v>
      </c>
      <c r="G106" s="361">
        <f>G105*(1+G$115)</f>
        <v>103002.94619234</v>
      </c>
      <c r="H106" s="340">
        <f>H105+1</f>
        <v>2035</v>
      </c>
      <c r="I106" s="361">
        <f>I105*(1+$I$115)</f>
        <v>103985.059672496</v>
      </c>
      <c r="J106" s="340">
        <f>J105+1</f>
        <v>2035</v>
      </c>
      <c r="K106" s="361">
        <f>K105*(1+$K$115)</f>
        <v>104909.745853152</v>
      </c>
      <c r="L106" s="340">
        <f>L105+1</f>
        <v>2035</v>
      </c>
      <c r="M106" s="361">
        <f>M105*(1+$M$115)</f>
        <v>108889.978026036</v>
      </c>
      <c r="N106" s="340">
        <f>N101+1</f>
        <v>2030</v>
      </c>
      <c r="O106" s="356">
        <f>O101*(1+$O$115)</f>
        <v>90347.3226944732</v>
      </c>
      <c r="P106" s="340">
        <f>P100+1</f>
        <v>2028</v>
      </c>
      <c r="Q106" s="356">
        <f>Q101*(1+$Q$115)</f>
        <v>88807.7166508562</v>
      </c>
      <c r="R106" s="340">
        <f>R100+1</f>
        <v>2027</v>
      </c>
      <c r="S106" s="349">
        <v>93192.94</v>
      </c>
      <c r="T106" s="15"/>
      <c r="U106" s="356"/>
      <c r="V106" s="15"/>
      <c r="W106" s="358"/>
      <c r="X106" s="15"/>
      <c r="Y106" s="358"/>
      <c r="Z106" s="15"/>
      <c r="AA106" s="313"/>
      <c r="AB106" s="15"/>
      <c r="AC106" s="15"/>
      <c r="AD106" s="19"/>
      <c r="AE106" s="359"/>
      <c r="AF106" s="19"/>
      <c r="AG106" s="352"/>
      <c r="AH106" s="15"/>
      <c r="AI106" s="15"/>
      <c r="AJ106" s="15"/>
    </row>
    <row r="107" ht="12.75" customHeight="1" spans="2:36" x14ac:dyDescent="0.25">
      <c r="B107" s="340">
        <v>2035</v>
      </c>
      <c r="C107" s="362">
        <v>97553.46</v>
      </c>
      <c r="D107" s="340">
        <v>2035</v>
      </c>
      <c r="E107" s="362">
        <v>102489.49</v>
      </c>
      <c r="F107" s="340">
        <v>2035</v>
      </c>
      <c r="G107" s="362">
        <v>103003.87</v>
      </c>
      <c r="H107" s="340">
        <v>2035</v>
      </c>
      <c r="I107" s="362">
        <v>103983.22</v>
      </c>
      <c r="J107" s="340">
        <v>2035</v>
      </c>
      <c r="K107" s="349">
        <v>104911.08</v>
      </c>
      <c r="L107" s="340">
        <v>2035</v>
      </c>
      <c r="M107" s="349">
        <v>108900</v>
      </c>
      <c r="N107" s="340"/>
      <c r="O107" s="356"/>
      <c r="P107" s="340"/>
      <c r="Q107" s="349"/>
      <c r="R107" s="340"/>
      <c r="S107" s="361"/>
      <c r="T107" s="15"/>
      <c r="U107" s="356"/>
      <c r="V107" s="15"/>
      <c r="W107" s="358"/>
      <c r="X107" s="15"/>
      <c r="Y107" s="358"/>
      <c r="Z107" s="15"/>
      <c r="AA107" s="313"/>
      <c r="AB107" s="15"/>
      <c r="AC107" s="15"/>
      <c r="AD107" s="19"/>
      <c r="AE107" s="359"/>
      <c r="AF107" s="19"/>
      <c r="AG107" s="352"/>
      <c r="AH107" s="15"/>
      <c r="AI107" s="15"/>
      <c r="AJ107" s="15"/>
    </row>
    <row r="108" ht="12.75" customHeight="1" spans="2:36" x14ac:dyDescent="0.25">
      <c r="B108" s="340">
        <f>B107+1</f>
        <v>2036</v>
      </c>
      <c r="C108" s="356">
        <f>C107*(1+C$116)</f>
        <v>101049.7760064</v>
      </c>
      <c r="D108" s="340">
        <f>D107+1</f>
        <v>2036</v>
      </c>
      <c r="E108" s="356">
        <f>E107*(1+E$116)</f>
        <v>106424.0615211</v>
      </c>
      <c r="F108" s="340">
        <f>F107+1</f>
        <v>2036</v>
      </c>
      <c r="G108" s="356">
        <f>G107*(1+G$116)</f>
        <v>106962.3087241</v>
      </c>
      <c r="H108" s="340">
        <f>H107+1</f>
        <v>2036</v>
      </c>
      <c r="I108" s="356">
        <f>I107*(1+$I$116)</f>
        <v>107956.4188362</v>
      </c>
      <c r="J108" s="340"/>
      <c r="K108" s="349"/>
      <c r="L108" s="340"/>
      <c r="M108" s="349"/>
      <c r="N108" s="340"/>
      <c r="O108" s="356"/>
      <c r="P108" s="340"/>
      <c r="Q108" s="349"/>
      <c r="R108" s="340"/>
      <c r="S108" s="361"/>
      <c r="T108" s="15"/>
      <c r="U108" s="356"/>
      <c r="V108" s="15"/>
      <c r="W108" s="358"/>
      <c r="X108" s="15"/>
      <c r="Y108" s="358"/>
      <c r="Z108" s="15"/>
      <c r="AA108" s="313"/>
      <c r="AB108" s="15"/>
      <c r="AC108" s="15"/>
      <c r="AD108" s="19"/>
      <c r="AE108" s="359"/>
      <c r="AF108" s="19"/>
      <c r="AG108" s="352"/>
      <c r="AH108" s="15"/>
      <c r="AI108" s="15"/>
      <c r="AJ108" s="15"/>
    </row>
    <row r="109" ht="12.75" customHeight="1" spans="2:36" x14ac:dyDescent="0.25">
      <c r="B109" s="340">
        <f>B108+1</f>
        <v>2037</v>
      </c>
      <c r="C109" s="356">
        <f>C108*(1+C$116)</f>
        <v>104671.399978469</v>
      </c>
      <c r="D109" s="340">
        <f>D108+1</f>
        <v>2037</v>
      </c>
      <c r="E109" s="356">
        <f>E108*(1+E$116)</f>
        <v>110509.681242895</v>
      </c>
      <c r="F109" s="340">
        <f>F108+1</f>
        <v>2037</v>
      </c>
      <c r="G109" s="356">
        <f>G108*(1+G$116)</f>
        <v>111072.870248367</v>
      </c>
      <c r="H109" s="340">
        <f>H108+1</f>
        <v>2037</v>
      </c>
      <c r="I109" s="356">
        <f>I108*(1+$I$116)</f>
        <v>112081.433599931</v>
      </c>
      <c r="J109" s="340"/>
      <c r="K109" s="349"/>
      <c r="L109" s="340"/>
      <c r="M109" s="349"/>
      <c r="N109" s="340"/>
      <c r="O109" s="356"/>
      <c r="P109" s="340"/>
      <c r="Q109" s="349"/>
      <c r="R109" s="340"/>
      <c r="S109" s="361"/>
      <c r="T109" s="15"/>
      <c r="U109" s="356"/>
      <c r="V109" s="15"/>
      <c r="W109" s="358"/>
      <c r="X109" s="15"/>
      <c r="Y109" s="358"/>
      <c r="Z109" s="15"/>
      <c r="AA109" s="313"/>
      <c r="AB109" s="15"/>
      <c r="AC109" s="15"/>
      <c r="AD109" s="19"/>
      <c r="AE109" s="359"/>
      <c r="AF109" s="19"/>
      <c r="AG109" s="352"/>
      <c r="AH109" s="15"/>
      <c r="AI109" s="15"/>
      <c r="AJ109" s="15"/>
    </row>
    <row r="110" ht="12.75" customHeight="1" spans="2:36" x14ac:dyDescent="0.25">
      <c r="B110" s="340">
        <f>B109+1</f>
        <v>2038</v>
      </c>
      <c r="C110" s="356">
        <f>C109*(1+C$116)</f>
        <v>108422.822953698</v>
      </c>
      <c r="D110" s="340">
        <f>D109+1</f>
        <v>2038</v>
      </c>
      <c r="E110" s="356">
        <f>E109*(1+E$116)</f>
        <v>114752.14790581</v>
      </c>
      <c r="F110" s="340">
        <f>F109+1</f>
        <v>2038</v>
      </c>
      <c r="G110" s="356">
        <f>G109*(1+G$116)</f>
        <v>115341.400652012</v>
      </c>
      <c r="H110" s="340">
        <f>H109+1</f>
        <v>2038</v>
      </c>
      <c r="I110" s="356">
        <f>I109*(1+$I$116)</f>
        <v>116364.065177785</v>
      </c>
      <c r="J110" s="340"/>
      <c r="K110" s="349"/>
      <c r="L110" s="340"/>
      <c r="M110" s="349"/>
      <c r="N110" s="340"/>
      <c r="O110" s="356"/>
      <c r="P110" s="340"/>
      <c r="Q110" s="349"/>
      <c r="R110" s="340"/>
      <c r="S110" s="361"/>
      <c r="T110" s="15"/>
      <c r="U110" s="356"/>
      <c r="V110" s="15"/>
      <c r="W110" s="358"/>
      <c r="X110" s="15"/>
      <c r="Y110" s="358"/>
      <c r="Z110" s="15"/>
      <c r="AA110" s="313"/>
      <c r="AB110" s="15"/>
      <c r="AC110" s="15"/>
      <c r="AD110" s="19"/>
      <c r="AE110" s="359"/>
      <c r="AF110" s="19"/>
      <c r="AG110" s="352"/>
      <c r="AH110" s="15"/>
      <c r="AI110" s="15"/>
      <c r="AJ110" s="15"/>
    </row>
    <row r="111" ht="12.75" customHeight="1" spans="2:36" x14ac:dyDescent="0.25">
      <c r="B111" s="340">
        <f>B110+1</f>
        <v>2039</v>
      </c>
      <c r="C111" s="356">
        <f>C110*(1+C$116)</f>
        <v>112308.696928358</v>
      </c>
      <c r="D111" s="340">
        <f>D110+1</f>
        <v>2039</v>
      </c>
      <c r="E111" s="356">
        <f>E110*(1+E$116)</f>
        <v>119157.482863914</v>
      </c>
      <c r="F111" s="340">
        <f>F110+1</f>
        <v>2039</v>
      </c>
      <c r="G111" s="356">
        <f>G110*(1+G$116)</f>
        <v>119773.970679069</v>
      </c>
      <c r="H111" s="340">
        <f>H110+1</f>
        <v>2039</v>
      </c>
      <c r="I111" s="356">
        <f>I110*(1+$I$116)</f>
        <v>120810.336108228</v>
      </c>
      <c r="J111" s="340"/>
      <c r="K111" s="349"/>
      <c r="L111" s="340"/>
      <c r="M111" s="349"/>
      <c r="N111" s="340"/>
      <c r="O111" s="356"/>
      <c r="P111" s="340"/>
      <c r="Q111" s="349"/>
      <c r="R111" s="340"/>
      <c r="S111" s="361"/>
      <c r="T111" s="15"/>
      <c r="U111" s="356"/>
      <c r="V111" s="15"/>
      <c r="W111" s="358"/>
      <c r="X111" s="15"/>
      <c r="Y111" s="358"/>
      <c r="Z111" s="15"/>
      <c r="AA111" s="313"/>
      <c r="AB111" s="15"/>
      <c r="AC111" s="15"/>
      <c r="AD111" s="19"/>
      <c r="AE111" s="359"/>
      <c r="AF111" s="19"/>
      <c r="AG111" s="352"/>
      <c r="AH111" s="15"/>
      <c r="AI111" s="15"/>
      <c r="AJ111" s="15"/>
    </row>
    <row r="112" ht="12.75" customHeight="1" spans="2:36" x14ac:dyDescent="0.25">
      <c r="B112" s="340">
        <f>B111+1</f>
        <v>2040</v>
      </c>
      <c r="C112" s="361">
        <f>C111*(1+C$116)</f>
        <v>116333.840626271</v>
      </c>
      <c r="D112" s="340">
        <f>D111+1</f>
        <v>2040</v>
      </c>
      <c r="E112" s="361">
        <f>E111*(1+E$116)</f>
        <v>123731.938631059</v>
      </c>
      <c r="F112" s="340">
        <f>F111+1</f>
        <v>2040</v>
      </c>
      <c r="G112" s="361">
        <f>G111*(1+G$116)</f>
        <v>124376.884372265</v>
      </c>
      <c r="H112" s="340">
        <f>H111+1</f>
        <v>2040</v>
      </c>
      <c r="I112" s="361">
        <f>I111*(1+$I$116)</f>
        <v>125426.499050923</v>
      </c>
      <c r="J112" s="340"/>
      <c r="K112" s="349"/>
      <c r="L112" s="340"/>
      <c r="M112" s="349"/>
      <c r="N112" s="340"/>
      <c r="O112" s="356"/>
      <c r="P112" s="340"/>
      <c r="Q112" s="349"/>
      <c r="R112" s="340"/>
      <c r="S112" s="361"/>
      <c r="T112" s="15"/>
      <c r="U112" s="356"/>
      <c r="V112" s="15"/>
      <c r="W112" s="358"/>
      <c r="X112" s="15"/>
      <c r="Y112" s="358"/>
      <c r="Z112" s="15"/>
      <c r="AA112" s="313"/>
      <c r="AB112" s="15"/>
      <c r="AC112" s="15"/>
      <c r="AD112" s="19"/>
      <c r="AE112" s="359"/>
      <c r="AF112" s="19"/>
      <c r="AG112" s="352"/>
      <c r="AH112" s="15"/>
      <c r="AI112" s="15"/>
      <c r="AJ112" s="15"/>
    </row>
    <row r="113" ht="12" customHeight="1" spans="2:36" x14ac:dyDescent="0.25">
      <c r="B113" s="340">
        <v>2040</v>
      </c>
      <c r="C113" s="362">
        <v>116333.72</v>
      </c>
      <c r="D113" s="340">
        <v>2040</v>
      </c>
      <c r="E113" s="362">
        <v>123733.59</v>
      </c>
      <c r="F113" s="340">
        <v>2040</v>
      </c>
      <c r="G113" s="362">
        <v>124375.91</v>
      </c>
      <c r="H113" s="340">
        <v>2040</v>
      </c>
      <c r="I113" s="362">
        <v>125424.18</v>
      </c>
      <c r="J113" s="340">
        <f>J107+1</f>
        <v>2036</v>
      </c>
      <c r="K113" s="356">
        <f>K107*(1+$K$115)</f>
        <v>108979.5316824</v>
      </c>
      <c r="L113" s="340">
        <f>L107+1</f>
        <v>2036</v>
      </c>
      <c r="M113" s="356">
        <f>M107*(1+$M$115)</f>
        <v>113157.99</v>
      </c>
      <c r="N113" s="340"/>
      <c r="O113" s="356"/>
      <c r="P113" s="340"/>
      <c r="Q113" s="349"/>
      <c r="R113" s="340"/>
      <c r="S113" s="361"/>
      <c r="T113" s="15"/>
      <c r="U113" s="356"/>
      <c r="V113" s="15"/>
      <c r="W113" s="358"/>
      <c r="X113" s="15"/>
      <c r="Y113" s="358"/>
      <c r="Z113" s="15"/>
      <c r="AA113" s="313"/>
      <c r="AB113" s="15"/>
      <c r="AC113" s="15"/>
      <c r="AD113" s="19"/>
      <c r="AE113" s="359"/>
      <c r="AF113" s="19"/>
      <c r="AG113" s="352"/>
      <c r="AH113" s="15"/>
      <c r="AI113" s="15"/>
      <c r="AJ113" s="15"/>
    </row>
    <row r="114" ht="12.75" customHeight="1" spans="2:36" x14ac:dyDescent="0.25">
      <c r="B114" s="363" t="s">
        <v>557</v>
      </c>
      <c r="C114" s="364">
        <v>0.03799</v>
      </c>
      <c r="D114" s="363" t="s">
        <v>557</v>
      </c>
      <c r="E114" s="364">
        <v>0.0386</v>
      </c>
      <c r="F114" s="363" t="s">
        <v>557</v>
      </c>
      <c r="G114" s="364">
        <v>0.0397</v>
      </c>
      <c r="H114" s="363" t="s">
        <v>557</v>
      </c>
      <c r="I114" s="364">
        <v>0.03867</v>
      </c>
      <c r="J114" s="363" t="s">
        <v>557</v>
      </c>
      <c r="K114" s="364">
        <v>0.0389</v>
      </c>
      <c r="L114" s="363" t="s">
        <v>557</v>
      </c>
      <c r="M114" s="364">
        <v>0.03913</v>
      </c>
      <c r="N114" s="363" t="s">
        <v>557</v>
      </c>
      <c r="O114" s="364">
        <v>0.03814</v>
      </c>
      <c r="P114" s="363" t="s">
        <v>557</v>
      </c>
      <c r="Q114" s="364">
        <v>0.03856</v>
      </c>
      <c r="R114" s="363" t="s">
        <v>557</v>
      </c>
      <c r="S114" s="364">
        <v>0.03809</v>
      </c>
      <c r="T114" s="365" t="s">
        <v>557</v>
      </c>
      <c r="U114" s="364">
        <v>0.0388</v>
      </c>
      <c r="V114" s="15"/>
      <c r="W114" s="15"/>
      <c r="X114" s="15"/>
      <c r="Y114" s="358"/>
      <c r="Z114" s="15"/>
      <c r="AA114" s="313"/>
      <c r="AB114" s="15"/>
      <c r="AC114" s="15"/>
      <c r="AD114" s="19"/>
      <c r="AE114" s="359"/>
      <c r="AF114" s="19"/>
      <c r="AG114" s="352"/>
      <c r="AH114" s="15"/>
      <c r="AI114" s="15"/>
      <c r="AJ114" s="15"/>
    </row>
    <row r="115" ht="12.75" customHeight="1" spans="2:36" x14ac:dyDescent="0.25">
      <c r="B115" s="366" t="s">
        <v>558</v>
      </c>
      <c r="C115" s="367">
        <v>0.03643</v>
      </c>
      <c r="D115" s="366" t="s">
        <v>558</v>
      </c>
      <c r="E115" s="367">
        <v>0.03896</v>
      </c>
      <c r="F115" s="366" t="s">
        <v>558</v>
      </c>
      <c r="G115" s="367">
        <v>0.03889</v>
      </c>
      <c r="H115" s="366" t="s">
        <v>558</v>
      </c>
      <c r="I115" s="367">
        <v>0.03877</v>
      </c>
      <c r="J115" s="368" t="s">
        <v>558</v>
      </c>
      <c r="K115" s="369">
        <v>0.03878</v>
      </c>
      <c r="L115" s="368" t="s">
        <v>558</v>
      </c>
      <c r="M115" s="369">
        <v>0.0391</v>
      </c>
      <c r="N115" s="368" t="s">
        <v>558</v>
      </c>
      <c r="O115" s="369">
        <v>0.03932</v>
      </c>
      <c r="P115" s="368" t="s">
        <v>558</v>
      </c>
      <c r="Q115" s="369">
        <v>0.03993</v>
      </c>
      <c r="R115" s="368" t="s">
        <v>558</v>
      </c>
      <c r="S115" s="369">
        <v>0.03937</v>
      </c>
      <c r="T115" s="370" t="s">
        <v>558</v>
      </c>
      <c r="U115" s="369">
        <v>0.03984</v>
      </c>
      <c r="V115" s="15"/>
      <c r="W115" s="15"/>
      <c r="X115" s="15"/>
      <c r="Y115" s="358"/>
      <c r="Z115" s="15"/>
      <c r="AA115" s="313"/>
      <c r="AB115" s="15"/>
      <c r="AC115" s="15"/>
      <c r="AD115" s="19"/>
      <c r="AE115" s="359"/>
      <c r="AF115" s="19"/>
      <c r="AG115" s="352"/>
      <c r="AH115" s="15"/>
      <c r="AI115" s="15"/>
      <c r="AJ115" s="15"/>
    </row>
    <row r="116" ht="12.75" customHeight="1" spans="2:36" x14ac:dyDescent="0.25">
      <c r="B116" s="368" t="s">
        <v>559</v>
      </c>
      <c r="C116" s="369">
        <v>0.03584</v>
      </c>
      <c r="D116" s="368" t="s">
        <v>559</v>
      </c>
      <c r="E116" s="369">
        <v>0.03839</v>
      </c>
      <c r="F116" s="368" t="s">
        <v>559</v>
      </c>
      <c r="G116" s="369">
        <v>0.03843</v>
      </c>
      <c r="H116" s="368" t="s">
        <v>559</v>
      </c>
      <c r="I116" s="369">
        <v>0.03821</v>
      </c>
      <c r="S116" s="15"/>
      <c r="T116" s="15"/>
      <c r="U116" s="15"/>
      <c r="V116" s="15"/>
      <c r="W116" s="15"/>
      <c r="X116" s="15"/>
      <c r="Y116" s="358"/>
      <c r="Z116" s="15"/>
      <c r="AA116" s="313"/>
      <c r="AB116" s="15"/>
      <c r="AC116" s="15"/>
      <c r="AD116" s="19"/>
      <c r="AE116" s="359"/>
      <c r="AF116" s="19"/>
      <c r="AG116" s="352"/>
      <c r="AH116" s="15"/>
      <c r="AI116" s="15"/>
      <c r="AJ116" s="15"/>
    </row>
    <row r="117" ht="12.75" customHeight="1" spans="4:20" x14ac:dyDescent="0.25">
      <c r="D117" s="27"/>
      <c r="E117" s="18"/>
      <c r="S117" s="15"/>
      <c r="T117" s="15"/>
    </row>
    <row r="118" ht="12.75" customHeight="1" spans="2:20" x14ac:dyDescent="0.25">
      <c r="B118" s="18" t="s">
        <v>560</v>
      </c>
      <c r="D118" s="27"/>
      <c r="E118" s="18"/>
      <c r="S118" s="15"/>
      <c r="T118" s="15"/>
    </row>
    <row r="119" ht="12.75" customHeight="1" spans="2:2" x14ac:dyDescent="0.25">
      <c r="B119" s="347" t="s">
        <v>561</v>
      </c>
    </row>
    <row r="120" ht="12.75" customHeight="1" spans="2:2" x14ac:dyDescent="0.25">
      <c r="B120" s="27" t="s">
        <v>562</v>
      </c>
    </row>
    <row r="121" ht="12.75" customHeight="1" spans="2:2" x14ac:dyDescent="0.25">
      <c r="B121" s="371" t="s">
        <v>563</v>
      </c>
    </row>
    <row r="122" ht="12.75" customHeight="1" spans="1:1" x14ac:dyDescent="0.25">
      <c r="A122" s="372" t="s">
        <v>564</v>
      </c>
    </row>
    <row r="123" ht="12.75" customHeight="1" spans="1:1" x14ac:dyDescent="0.25">
      <c r="A123" s="373" t="s">
        <v>553</v>
      </c>
    </row>
    <row r="124" ht="12.75" customHeight="1" spans="1:1" x14ac:dyDescent="0.25">
      <c r="A124" s="373" t="s">
        <v>565</v>
      </c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 zoomScale="100" zoomScaleNormal="100" view="normal">
      <selection activeCell="C35" sqref="C35"/>
    </sheetView>
  </sheetViews>
  <sheetFormatPr defaultRowHeight="12.75" outlineLevelRow="0" outlineLevelCol="0" x14ac:dyDescent="0" defaultColWidth="8.83203125" customHeight="1"/>
  <cols>
    <col min="1" max="1" width="16.5" customWidth="1"/>
    <col min="2" max="7" width="14.67" customWidth="1"/>
    <col min="8" max="8" width="15.66" customWidth="1"/>
  </cols>
  <sheetData>
    <row r="1" ht="18" customHeight="1" spans="1:1" x14ac:dyDescent="0.25">
      <c r="A1" s="14" t="s">
        <v>566</v>
      </c>
    </row>
    <row r="2" ht="13.5" customHeight="1" spans="1:1" x14ac:dyDescent="0.25">
      <c r="A2" s="22" t="s">
        <v>567</v>
      </c>
    </row>
    <row r="3" ht="13.5" customHeight="1" spans="1:1" x14ac:dyDescent="0.25">
      <c r="A3" s="22" t="s">
        <v>568</v>
      </c>
    </row>
    <row r="4" ht="13.5" customHeight="1" spans="1:1" x14ac:dyDescent="0.25">
      <c r="A4" s="22" t="s">
        <v>569</v>
      </c>
    </row>
    <row r="5" ht="12.75" customHeight="1" spans="1:7" x14ac:dyDescent="0.25">
      <c r="A5" s="15"/>
      <c r="B5" s="15"/>
      <c r="C5" s="15"/>
      <c r="D5" s="15"/>
      <c r="E5" s="15"/>
      <c r="F5" s="15"/>
      <c r="G5" s="15"/>
    </row>
    <row r="6" ht="13.5" customHeight="1" spans="1:1" x14ac:dyDescent="0.25">
      <c r="A6" s="22" t="s">
        <v>570</v>
      </c>
    </row>
    <row r="7" ht="42" customHeight="1" spans="1:7" x14ac:dyDescent="0.25">
      <c r="A7" s="374" t="s">
        <v>571</v>
      </c>
      <c r="B7" s="374" t="s">
        <v>572</v>
      </c>
      <c r="C7" s="374" t="s">
        <v>573</v>
      </c>
      <c r="D7" s="374" t="s">
        <v>574</v>
      </c>
      <c r="E7" s="374" t="s">
        <v>575</v>
      </c>
      <c r="F7" s="374" t="s">
        <v>573</v>
      </c>
      <c r="G7" s="374" t="s">
        <v>574</v>
      </c>
    </row>
    <row r="8" ht="13.5" customHeight="1" spans="1:7" x14ac:dyDescent="0.25">
      <c r="A8" s="375" t="s">
        <v>576</v>
      </c>
      <c r="B8" s="376">
        <v>3362</v>
      </c>
      <c r="C8" s="377" t="s">
        <v>577</v>
      </c>
      <c r="D8" s="378" t="str">
        <f>C8</f>
        <v>--</v>
      </c>
      <c r="E8" s="376">
        <v>15518</v>
      </c>
      <c r="F8" s="377" t="s">
        <v>577</v>
      </c>
      <c r="G8" s="378" t="str">
        <f>F8</f>
        <v>--</v>
      </c>
    </row>
    <row r="9" ht="13.5" customHeight="1" spans="1:7" x14ac:dyDescent="0.25">
      <c r="A9" s="375" t="s">
        <v>578</v>
      </c>
      <c r="B9" s="376">
        <v>3508</v>
      </c>
      <c r="C9" s="377">
        <f>(B9-B8)/B8</f>
        <v>0.0434265318262939</v>
      </c>
      <c r="D9" s="378">
        <f>C9</f>
        <v>0.0434265318262939</v>
      </c>
      <c r="E9" s="376">
        <v>16072</v>
      </c>
      <c r="F9" s="377">
        <f>(E9-E8)/E8</f>
        <v>0.0357004768655755</v>
      </c>
      <c r="G9" s="378">
        <f>F9</f>
        <v>0.0357004768655755</v>
      </c>
    </row>
    <row r="10" ht="13.5" customHeight="1" spans="1:7" x14ac:dyDescent="0.25">
      <c r="A10" s="375" t="s">
        <v>579</v>
      </c>
      <c r="B10" s="376">
        <v>3766</v>
      </c>
      <c r="C10" s="377">
        <f>(B10-B9)/B9</f>
        <v>0.0735461801596351</v>
      </c>
      <c r="D10" s="378">
        <f>C10</f>
        <v>0.0735461801596351</v>
      </c>
      <c r="E10" s="376">
        <v>17377</v>
      </c>
      <c r="F10" s="377">
        <f>(E10-E9)/E9</f>
        <v>0.0811971129915381</v>
      </c>
      <c r="G10" s="378">
        <f>F10</f>
        <v>0.0811971129915381</v>
      </c>
    </row>
    <row r="11" ht="13.5" customHeight="1" spans="1:7" x14ac:dyDescent="0.25">
      <c r="A11" s="375" t="s">
        <v>580</v>
      </c>
      <c r="B11" s="376">
        <v>4098</v>
      </c>
      <c r="C11" s="377">
        <f>(B11-B10)/B10</f>
        <v>0.0881571959638874</v>
      </c>
      <c r="D11" s="378">
        <f>C11</f>
        <v>0.0881571959638874</v>
      </c>
      <c r="E11" s="376">
        <v>18060</v>
      </c>
      <c r="F11" s="377">
        <f>(E11-E10)/E10</f>
        <v>0.0393048282212119</v>
      </c>
      <c r="G11" s="378">
        <f>F11</f>
        <v>0.0393048282212119</v>
      </c>
    </row>
    <row r="12" ht="13.5" customHeight="1" spans="1:7" x14ac:dyDescent="0.25">
      <c r="A12" s="379" t="s">
        <v>581</v>
      </c>
      <c r="B12" s="376">
        <v>4645</v>
      </c>
      <c r="C12" s="377">
        <f>(B12-B11)/B11</f>
        <v>0.133479746217667</v>
      </c>
      <c r="D12" s="378">
        <f>C12</f>
        <v>0.133479746217667</v>
      </c>
      <c r="E12" s="376">
        <v>18950</v>
      </c>
      <c r="F12" s="377">
        <f>(E12-E11)/E11</f>
        <v>0.0492801771871539</v>
      </c>
      <c r="G12" s="378">
        <f>F12</f>
        <v>0.0492801771871539</v>
      </c>
    </row>
    <row r="13" ht="13.5" customHeight="1" spans="1:7" x14ac:dyDescent="0.25">
      <c r="A13" s="379" t="s">
        <v>582</v>
      </c>
      <c r="B13" s="380">
        <v>5126</v>
      </c>
      <c r="C13" s="381">
        <f>(B13-B12)/B12</f>
        <v>0.103552206673843</v>
      </c>
      <c r="D13" s="382">
        <f>C13</f>
        <v>0.103552206673843</v>
      </c>
      <c r="E13" s="380">
        <v>20045</v>
      </c>
      <c r="F13" s="381">
        <f>(E13-E12)/E12</f>
        <v>0.0577836411609499</v>
      </c>
      <c r="G13" s="382">
        <f>F13</f>
        <v>0.0577836411609499</v>
      </c>
    </row>
    <row r="14" ht="13.5" customHeight="1" spans="1:7" x14ac:dyDescent="0.25">
      <c r="A14" s="375" t="s">
        <v>583</v>
      </c>
      <c r="B14" s="376">
        <v>5492</v>
      </c>
      <c r="C14" s="377">
        <f>(B14-B13)/B13</f>
        <v>0.0714007023019899</v>
      </c>
      <c r="D14" s="378">
        <f>C14</f>
        <v>0.0714007023019899</v>
      </c>
      <c r="E14" s="376">
        <v>20980</v>
      </c>
      <c r="F14" s="377">
        <f>(E14-E13)/E13</f>
        <v>0.0466450486405587</v>
      </c>
      <c r="G14" s="378">
        <f>F14</f>
        <v>0.0466450486405587</v>
      </c>
    </row>
    <row r="15" ht="13.5" customHeight="1" spans="1:7" x14ac:dyDescent="0.25">
      <c r="A15" s="375" t="s">
        <v>584</v>
      </c>
      <c r="B15" s="376">
        <v>5804</v>
      </c>
      <c r="C15" s="377">
        <f>(B15-B14)/B14</f>
        <v>0.0568099053168245</v>
      </c>
      <c r="D15" s="378">
        <f>C15</f>
        <v>0.0568099053168245</v>
      </c>
      <c r="E15" s="376">
        <v>22308</v>
      </c>
      <c r="F15" s="377">
        <f>(E15-E14)/E14</f>
        <v>0.0632983794089609</v>
      </c>
      <c r="G15" s="378">
        <f>F15</f>
        <v>0.0632983794089609</v>
      </c>
    </row>
    <row r="16" ht="13.5" customHeight="1" spans="1:7" x14ac:dyDescent="0.25">
      <c r="A16" s="375" t="s">
        <v>585</v>
      </c>
      <c r="B16" s="376">
        <v>6191</v>
      </c>
      <c r="C16" s="377">
        <f>(B16-B15)/B15</f>
        <v>0.0666781529979325</v>
      </c>
      <c r="D16" s="378">
        <f>C16</f>
        <v>0.0666781529979325</v>
      </c>
      <c r="E16" s="376">
        <v>23745</v>
      </c>
      <c r="F16" s="377">
        <f>(E16-E15)/E15</f>
        <v>0.0644163528778913</v>
      </c>
      <c r="G16" s="378">
        <f>F16</f>
        <v>0.0644163528778913</v>
      </c>
    </row>
    <row r="17" ht="13.5" customHeight="1" spans="1:7" x14ac:dyDescent="0.25">
      <c r="A17" s="375" t="s">
        <v>586</v>
      </c>
      <c r="B17" s="376">
        <v>6591</v>
      </c>
      <c r="C17" s="377">
        <f>(B17-B16)/B16</f>
        <v>0.064609917622355</v>
      </c>
      <c r="D17" s="378">
        <f>C17</f>
        <v>0.064609917622355</v>
      </c>
      <c r="E17" s="376">
        <v>25177</v>
      </c>
      <c r="F17" s="377">
        <f>(E17-E16)/E16</f>
        <v>0.0603074331438198</v>
      </c>
      <c r="G17" s="378">
        <f>F17</f>
        <v>0.0603074331438198</v>
      </c>
    </row>
    <row r="18" ht="13.5" customHeight="1" spans="1:7" x14ac:dyDescent="0.25">
      <c r="A18" s="375" t="s">
        <v>587</v>
      </c>
      <c r="B18" s="376">
        <v>7050</v>
      </c>
      <c r="C18" s="377">
        <f>(B18-B17)/B17</f>
        <v>0.0696404187528448</v>
      </c>
      <c r="D18" s="378">
        <f>C18</f>
        <v>0.0696404187528448</v>
      </c>
      <c r="E18" s="376">
        <v>26129</v>
      </c>
      <c r="F18" s="377">
        <f>(E18-E17)/E17</f>
        <v>0.037812288993923</v>
      </c>
      <c r="G18" s="378">
        <f>F18</f>
        <v>0.037812288993923</v>
      </c>
    </row>
    <row r="19" ht="13.5" customHeight="1" spans="1:7" x14ac:dyDescent="0.25">
      <c r="A19" s="375" t="s">
        <v>588</v>
      </c>
      <c r="B19" s="376">
        <v>7613</v>
      </c>
      <c r="C19" s="377">
        <f>(B19-B18)/B18</f>
        <v>0.0798581560283688</v>
      </c>
      <c r="D19" s="378">
        <f>C19</f>
        <v>0.0798581560283688</v>
      </c>
      <c r="E19" s="376">
        <v>27265</v>
      </c>
      <c r="F19" s="377">
        <f>(E19-E18)/E18</f>
        <v>0.0434765968846875</v>
      </c>
      <c r="G19" s="378">
        <f>F19</f>
        <v>0.0434765968846875</v>
      </c>
    </row>
    <row r="20" ht="13.5" customHeight="1" spans="1:7" x14ac:dyDescent="0.25">
      <c r="A20" s="383" t="s">
        <v>589</v>
      </c>
      <c r="B20" s="384">
        <v>8256</v>
      </c>
      <c r="C20" s="385">
        <f>(B20-B19)/B19</f>
        <v>0.0844607907526599</v>
      </c>
      <c r="D20" s="386">
        <f>C20</f>
        <v>0.0844607907526599</v>
      </c>
      <c r="E20" s="384">
        <v>27883</v>
      </c>
      <c r="F20" s="385">
        <f>(E20-E19)/E19</f>
        <v>0.0226664221529433</v>
      </c>
      <c r="G20" s="386">
        <f>F20</f>
        <v>0.0226664221529433</v>
      </c>
    </row>
    <row r="21" ht="13.5" customHeight="1" spans="1:7" x14ac:dyDescent="0.25">
      <c r="A21" s="383" t="s">
        <v>590</v>
      </c>
      <c r="B21" s="384">
        <v>8646</v>
      </c>
      <c r="C21" s="385">
        <f>(B21-B20)/B20</f>
        <v>0.0472383720930233</v>
      </c>
      <c r="D21" s="386">
        <f>C21</f>
        <v>0.0472383720930233</v>
      </c>
      <c r="E21" s="384">
        <v>28989</v>
      </c>
      <c r="F21" s="385">
        <f>(E21-E20)/E20</f>
        <v>0.0396657461535703</v>
      </c>
      <c r="G21" s="386">
        <f>F21</f>
        <v>0.0396657461535703</v>
      </c>
    </row>
    <row r="22" ht="13.5" customHeight="1" spans="1:7" x14ac:dyDescent="0.25">
      <c r="A22" s="383" t="s">
        <v>591</v>
      </c>
      <c r="B22" s="384">
        <v>8885</v>
      </c>
      <c r="C22" s="385">
        <f>(B22-B21)/B21</f>
        <v>0.0276428406199399</v>
      </c>
      <c r="D22" s="386">
        <f>C22</f>
        <v>0.0276428406199399</v>
      </c>
      <c r="E22" s="384">
        <v>30131</v>
      </c>
      <c r="F22" s="385">
        <f>(E22-E21)/E21</f>
        <v>0.0393942529925144</v>
      </c>
      <c r="G22" s="386">
        <f>F22</f>
        <v>0.0393942529925144</v>
      </c>
    </row>
    <row r="23" ht="13.5" customHeight="1" spans="1:7" x14ac:dyDescent="0.25">
      <c r="A23" s="383" t="s">
        <v>592</v>
      </c>
      <c r="B23" s="384">
        <v>9145</v>
      </c>
      <c r="C23" s="385">
        <f>(B23-B22)/B22</f>
        <v>0.0292628024760833</v>
      </c>
      <c r="D23" s="386">
        <f>C23</f>
        <v>0.0292628024760833</v>
      </c>
      <c r="E23" s="384">
        <v>31283</v>
      </c>
      <c r="F23" s="385">
        <f>(E23-E22)/E22</f>
        <v>0.0382330490192825</v>
      </c>
      <c r="G23" s="386">
        <f>F23</f>
        <v>0.0382330490192825</v>
      </c>
    </row>
    <row r="24" ht="13.5" customHeight="1" spans="1:7" x14ac:dyDescent="0.25">
      <c r="A24" s="383" t="s">
        <v>593</v>
      </c>
      <c r="B24" s="384">
        <v>9420</v>
      </c>
      <c r="C24" s="385">
        <f>(B24-B23)/B23</f>
        <v>0.0300710770913067</v>
      </c>
      <c r="D24" s="386">
        <f>C24</f>
        <v>0.0300710770913067</v>
      </c>
      <c r="E24" s="384">
        <v>32330</v>
      </c>
      <c r="F24" s="385">
        <f>(E24-E23)/E23</f>
        <v>0.0334686570981044</v>
      </c>
      <c r="G24" s="386">
        <f>F24</f>
        <v>0.0334686570981044</v>
      </c>
    </row>
    <row r="25" ht="13.5" customHeight="1" spans="1:7" x14ac:dyDescent="0.25">
      <c r="A25" s="387" t="s">
        <v>594</v>
      </c>
      <c r="B25" s="388">
        <v>9670</v>
      </c>
      <c r="C25" s="389">
        <f>(B25-B24)/B24</f>
        <v>0.0265392781316348</v>
      </c>
      <c r="D25" s="390">
        <f>C25</f>
        <v>0.0265392781316348</v>
      </c>
      <c r="E25" s="388">
        <v>33520</v>
      </c>
      <c r="F25" s="389">
        <f>(E25-E24)/E24</f>
        <v>0.0368079183420971</v>
      </c>
      <c r="G25" s="390">
        <f>F25</f>
        <v>0.0368079183420971</v>
      </c>
    </row>
    <row r="26" ht="13.5" customHeight="1" spans="1:7" x14ac:dyDescent="0.25">
      <c r="A26" s="387" t="s">
        <v>595</v>
      </c>
      <c r="B26" s="388">
        <v>9980</v>
      </c>
      <c r="C26" s="389">
        <f>(B26-B25)/B25</f>
        <v>0.03205791106515</v>
      </c>
      <c r="D26" s="390">
        <f>C26</f>
        <v>0.03205791106515</v>
      </c>
      <c r="E26" s="388">
        <v>34700</v>
      </c>
      <c r="F26" s="389">
        <f>(E26-E25)/E25</f>
        <v>0.0352028639618138</v>
      </c>
      <c r="G26" s="390">
        <f>F26</f>
        <v>0.0352028639618138</v>
      </c>
    </row>
    <row r="27" ht="13.5" customHeight="1" spans="1:7" x14ac:dyDescent="0.25">
      <c r="A27" s="387" t="s">
        <v>596</v>
      </c>
      <c r="B27" s="388">
        <v>10210</v>
      </c>
      <c r="C27" s="389">
        <f>(B27-B26)/B26</f>
        <v>0.0230460921843687</v>
      </c>
      <c r="D27" s="390">
        <f>C27</f>
        <v>0.0230460921843687</v>
      </c>
      <c r="E27" s="388">
        <v>35680</v>
      </c>
      <c r="F27" s="389">
        <f>(E27-E26)/E26</f>
        <v>0.0282420749279539</v>
      </c>
      <c r="G27" s="390">
        <f>F27</f>
        <v>0.0282420749279539</v>
      </c>
    </row>
    <row r="28" ht="13.5" customHeight="1" spans="1:7" x14ac:dyDescent="0.25">
      <c r="A28" s="387" t="s">
        <v>597</v>
      </c>
      <c r="B28" s="388">
        <v>10440</v>
      </c>
      <c r="C28" s="389">
        <f>(B28-B27)/B27</f>
        <v>0.0225269343780607</v>
      </c>
      <c r="D28" s="390">
        <f>C28</f>
        <v>0.0225269343780607</v>
      </c>
      <c r="E28" s="388">
        <v>36880</v>
      </c>
      <c r="F28" s="389">
        <f>(E28-E27)/E27</f>
        <v>0.0336322869955157</v>
      </c>
      <c r="G28" s="390">
        <f>F28</f>
        <v>0.0336322869955157</v>
      </c>
    </row>
    <row r="29" ht="13.5" customHeight="1" spans="1:7" x14ac:dyDescent="0.25">
      <c r="A29" s="387" t="s">
        <v>598</v>
      </c>
      <c r="B29" s="388">
        <v>10560</v>
      </c>
      <c r="C29" s="389">
        <f>(B29-B28)/B28</f>
        <v>0.0114942528735632</v>
      </c>
      <c r="D29" s="390">
        <f>C29</f>
        <v>0.0114942528735632</v>
      </c>
      <c r="E29" s="388">
        <v>37650</v>
      </c>
      <c r="F29" s="389">
        <f>(E29-E28)/E28</f>
        <v>0.0208785249457701</v>
      </c>
      <c r="G29" s="390">
        <f>F29</f>
        <v>0.0208785249457701</v>
      </c>
    </row>
    <row r="31" ht="30" customHeight="1" spans="1:6" x14ac:dyDescent="0.25">
      <c r="A31" s="391" t="s">
        <v>599</v>
      </c>
      <c r="B31" s="108" t="s">
        <v>600</v>
      </c>
      <c r="C31" s="108" t="s">
        <v>601</v>
      </c>
      <c r="D31" s="392" t="s">
        <v>602</v>
      </c>
      <c r="F31" s="108"/>
    </row>
    <row r="32" ht="12.75" customHeight="1" spans="1:6" x14ac:dyDescent="0.25">
      <c r="A32" s="18" t="s">
        <v>603</v>
      </c>
      <c r="B32" s="393">
        <f>AVERAGE(C25:C29)</f>
        <v>0.0231328937265555</v>
      </c>
      <c r="C32" s="393">
        <f>AVERAGE(F25:F29)</f>
        <v>0.0309527338346301</v>
      </c>
      <c r="D32" s="393">
        <f>(B32+C32)/2</f>
        <v>0.0270428137805928</v>
      </c>
      <c r="E32" s="38"/>
      <c r="F32" s="393"/>
    </row>
    <row r="33" ht="12.75" customHeight="1" spans="1:6" x14ac:dyDescent="0.25">
      <c r="A33" s="18" t="s">
        <v>604</v>
      </c>
      <c r="B33" s="393">
        <f>AVERAGE(C20:C29)</f>
        <v>0.0334340351665791</v>
      </c>
      <c r="C33" s="393">
        <f>AVERAGE(F20:F29)</f>
        <v>0.0328191796589565</v>
      </c>
      <c r="D33" s="393">
        <f>(B33+C33)/2</f>
        <v>0.0331266074127678</v>
      </c>
      <c r="F33" s="393"/>
    </row>
    <row r="34" ht="12.75" customHeight="1" spans="1:6" x14ac:dyDescent="0.25">
      <c r="A34" s="18" t="s">
        <v>605</v>
      </c>
      <c r="B34" s="393">
        <f>AVERAGE(C$9:C29)</f>
        <v>0.0564523555013063</v>
      </c>
      <c r="C34" s="393">
        <f>AVERAGE(F$9:F29)</f>
        <v>0.043210196807897</v>
      </c>
      <c r="D34" s="393">
        <f>(B34+C34)/2</f>
        <v>0.0498312761546016</v>
      </c>
      <c r="F34" s="393"/>
    </row>
    <row r="35" ht="12.75" customHeight="1" spans="1:6" x14ac:dyDescent="0.25">
      <c r="A35" s="18"/>
      <c r="B35" s="393"/>
      <c r="C35" s="393"/>
      <c r="D35" s="393"/>
      <c r="F35" s="393"/>
    </row>
    <row r="36" ht="12.75" customHeight="1" spans="1:1" x14ac:dyDescent="0.25">
      <c r="A36" s="38"/>
    </row>
    <row r="37" ht="13.5" customHeight="1" spans="1:1" x14ac:dyDescent="0.25">
      <c r="A37" s="22" t="s">
        <v>606</v>
      </c>
    </row>
    <row r="38" ht="27.75" customHeight="1" spans="1:7" x14ac:dyDescent="0.25">
      <c r="A38" s="394" t="s">
        <v>571</v>
      </c>
      <c r="B38" s="374" t="s">
        <v>607</v>
      </c>
      <c r="C38" s="395" t="s">
        <v>608</v>
      </c>
      <c r="D38" s="374" t="s">
        <v>574</v>
      </c>
      <c r="E38" s="374" t="s">
        <v>609</v>
      </c>
      <c r="F38" s="374" t="s">
        <v>574</v>
      </c>
      <c r="G38" s="374" t="s">
        <v>608</v>
      </c>
    </row>
    <row r="39" ht="13.5" customHeight="1" spans="1:7" x14ac:dyDescent="0.25">
      <c r="A39" s="396" t="s">
        <v>576</v>
      </c>
      <c r="B39" s="376">
        <v>8080</v>
      </c>
      <c r="C39" s="377" t="s">
        <v>577</v>
      </c>
      <c r="D39" s="397" t="str">
        <f>C39</f>
        <v>--</v>
      </c>
      <c r="E39" s="376">
        <v>21475</v>
      </c>
      <c r="F39" s="377" t="s">
        <v>577</v>
      </c>
      <c r="G39" s="378" t="str">
        <f>F39</f>
        <v>--</v>
      </c>
    </row>
    <row r="40" ht="13.5" customHeight="1" spans="1:7" x14ac:dyDescent="0.25">
      <c r="A40" s="396" t="s">
        <v>578</v>
      </c>
      <c r="B40" s="376">
        <v>8439</v>
      </c>
      <c r="C40" s="398">
        <f>(B40-B39)/B39</f>
        <v>0.0444306930693069</v>
      </c>
      <c r="D40" s="397">
        <f>C40</f>
        <v>0.0444306930693069</v>
      </c>
      <c r="E40" s="376">
        <v>22240</v>
      </c>
      <c r="F40" s="398">
        <f>(E40-E39)/E39</f>
        <v>0.0356228172293364</v>
      </c>
      <c r="G40" s="378">
        <f>F40</f>
        <v>0.0356228172293364</v>
      </c>
    </row>
    <row r="41" ht="13.5" customHeight="1" spans="1:7" x14ac:dyDescent="0.25">
      <c r="A41" s="396" t="s">
        <v>579</v>
      </c>
      <c r="B41" s="376">
        <v>9032</v>
      </c>
      <c r="C41" s="398">
        <f>(B41-B40)/B40</f>
        <v>0.0702689892167318</v>
      </c>
      <c r="D41" s="397">
        <f>C41</f>
        <v>0.0702689892167318</v>
      </c>
      <c r="E41" s="376">
        <v>23856</v>
      </c>
      <c r="F41" s="398">
        <f>(E41-E40)/E40</f>
        <v>0.0726618705035971</v>
      </c>
      <c r="G41" s="378">
        <f>F41</f>
        <v>0.0726618705035971</v>
      </c>
    </row>
    <row r="42" ht="13.5" customHeight="1" spans="1:7" x14ac:dyDescent="0.25">
      <c r="A42" s="396" t="s">
        <v>580</v>
      </c>
      <c r="B42" s="376">
        <v>9672</v>
      </c>
      <c r="C42" s="398">
        <f>(B42-B41)/B41</f>
        <v>0.070859167404783</v>
      </c>
      <c r="D42" s="397">
        <f>C42</f>
        <v>0.070859167404783</v>
      </c>
      <c r="E42" s="376">
        <v>24867</v>
      </c>
      <c r="F42" s="398">
        <f>(E42-E41)/E41</f>
        <v>0.0423792756539235</v>
      </c>
      <c r="G42" s="378">
        <f>F42</f>
        <v>0.0423792756539235</v>
      </c>
    </row>
    <row r="43" ht="13.5" customHeight="1" spans="1:7" x14ac:dyDescent="0.25">
      <c r="A43" s="399" t="s">
        <v>581</v>
      </c>
      <c r="B43" s="380">
        <v>10530</v>
      </c>
      <c r="C43" s="400">
        <f>(B43-B42)/B42</f>
        <v>0.0887096774193548</v>
      </c>
      <c r="D43" s="401">
        <f>C43</f>
        <v>0.0887096774193548</v>
      </c>
      <c r="E43" s="380">
        <v>26057</v>
      </c>
      <c r="F43" s="400">
        <f>(E43-E42)/E42</f>
        <v>0.0478545863996461</v>
      </c>
      <c r="G43" s="382">
        <f>F43</f>
        <v>0.0478545863996461</v>
      </c>
    </row>
    <row r="44" ht="13.5" customHeight="1" spans="1:7" x14ac:dyDescent="0.25">
      <c r="A44" s="399" t="s">
        <v>582</v>
      </c>
      <c r="B44" s="380">
        <v>11376</v>
      </c>
      <c r="C44" s="400">
        <f>(B44-B43)/B43</f>
        <v>0.0803418803418804</v>
      </c>
      <c r="D44" s="401">
        <f>C44</f>
        <v>0.0803418803418804</v>
      </c>
      <c r="E44" s="380">
        <v>27465</v>
      </c>
      <c r="F44" s="400">
        <f>(E44-E43)/E43</f>
        <v>0.0540353839659209</v>
      </c>
      <c r="G44" s="382">
        <f>F44</f>
        <v>0.0540353839659209</v>
      </c>
    </row>
    <row r="45" ht="13.5" customHeight="1" spans="1:7" x14ac:dyDescent="0.25">
      <c r="A45" s="396" t="s">
        <v>583</v>
      </c>
      <c r="B45" s="376">
        <v>12115</v>
      </c>
      <c r="C45" s="398">
        <f>(B45-B44)/B44</f>
        <v>0.0649613220815753</v>
      </c>
      <c r="D45" s="397">
        <f>C45</f>
        <v>0.0649613220815753</v>
      </c>
      <c r="E45" s="376">
        <v>28743</v>
      </c>
      <c r="F45" s="398">
        <f>(E45-E44)/E44</f>
        <v>0.0465319497542327</v>
      </c>
      <c r="G45" s="378">
        <f>F45</f>
        <v>0.0465319497542327</v>
      </c>
    </row>
    <row r="46" ht="13.5" customHeight="1" spans="1:7" x14ac:dyDescent="0.25">
      <c r="A46" s="396" t="s">
        <v>584</v>
      </c>
      <c r="B46" s="376">
        <v>12837</v>
      </c>
      <c r="C46" s="398">
        <f>(B46-B45)/B45</f>
        <v>0.0595955427156418</v>
      </c>
      <c r="D46" s="397">
        <f>C46</f>
        <v>0.0595955427156418</v>
      </c>
      <c r="E46" s="376">
        <v>30497</v>
      </c>
      <c r="F46" s="398">
        <f>(E46-E45)/E45</f>
        <v>0.061023553560867</v>
      </c>
      <c r="G46" s="378">
        <f>F46</f>
        <v>0.061023553560867</v>
      </c>
    </row>
    <row r="47" ht="13.5" customHeight="1" spans="1:7" x14ac:dyDescent="0.25">
      <c r="A47" s="396" t="s">
        <v>585</v>
      </c>
      <c r="B47" s="376">
        <v>13558</v>
      </c>
      <c r="C47" s="398">
        <f>(B47-B46)/B46</f>
        <v>0.0561657708187271</v>
      </c>
      <c r="D47" s="397">
        <f>C47</f>
        <v>0.0561657708187271</v>
      </c>
      <c r="E47" s="376">
        <v>32326</v>
      </c>
      <c r="F47" s="398">
        <f>(E47-E46)/E46</f>
        <v>0.0599731121093878</v>
      </c>
      <c r="G47" s="378">
        <f>F47</f>
        <v>0.0599731121093878</v>
      </c>
    </row>
    <row r="48" ht="13.5" customHeight="1" spans="1:7" x14ac:dyDescent="0.25">
      <c r="A48" s="375" t="s">
        <v>586</v>
      </c>
      <c r="B48" s="402">
        <v>14364</v>
      </c>
      <c r="C48" s="377">
        <f>(B48-B47)/B47</f>
        <v>0.0594482962088804</v>
      </c>
      <c r="D48" s="378">
        <f>C48</f>
        <v>0.0594482962088804</v>
      </c>
      <c r="E48" s="402">
        <v>34163</v>
      </c>
      <c r="F48" s="377">
        <f>(E48-E47)/E47</f>
        <v>0.0568273216605828</v>
      </c>
      <c r="G48" s="378">
        <f>F48</f>
        <v>0.0568273216605828</v>
      </c>
    </row>
    <row r="49" ht="13.5" customHeight="1" spans="1:7" x14ac:dyDescent="0.25">
      <c r="A49" s="375" t="s">
        <v>587</v>
      </c>
      <c r="B49" s="376">
        <v>15213</v>
      </c>
      <c r="C49" s="377">
        <f>(B49-B48)/B48</f>
        <v>0.0591060985797828</v>
      </c>
      <c r="D49" s="378">
        <f>C49</f>
        <v>0.0591060985797828</v>
      </c>
      <c r="E49" s="376">
        <v>35636</v>
      </c>
      <c r="F49" s="377">
        <f>(E49-E48)/E48</f>
        <v>0.0431168222931241</v>
      </c>
      <c r="G49" s="378">
        <f>F49</f>
        <v>0.0431168222931241</v>
      </c>
    </row>
    <row r="50" ht="13.5" customHeight="1" spans="1:7" x14ac:dyDescent="0.25">
      <c r="A50" s="375" t="s">
        <v>588</v>
      </c>
      <c r="B50" s="376">
        <v>16162</v>
      </c>
      <c r="C50" s="377">
        <f>(B50-B49)/B49</f>
        <v>0.0623808584763032</v>
      </c>
      <c r="D50" s="378">
        <f>C50</f>
        <v>0.0623808584763032</v>
      </c>
      <c r="E50" s="376">
        <v>36971</v>
      </c>
      <c r="F50" s="377">
        <f>(E50-E49)/E49</f>
        <v>0.0374621169603772</v>
      </c>
      <c r="G50" s="378">
        <f>F50</f>
        <v>0.0374621169603772</v>
      </c>
    </row>
    <row r="51" ht="13.5" customHeight="1" spans="1:7" x14ac:dyDescent="0.25">
      <c r="A51" s="383" t="s">
        <v>589</v>
      </c>
      <c r="B51" s="384">
        <v>17136</v>
      </c>
      <c r="C51" s="385">
        <f>(B51-B50)/B50</f>
        <v>0.0602648187105556</v>
      </c>
      <c r="D51" s="386">
        <f>C51</f>
        <v>0.0602648187105556</v>
      </c>
      <c r="E51" s="384">
        <v>37971</v>
      </c>
      <c r="F51" s="385">
        <f>(E51-E50)/E50</f>
        <v>0.0270482269887209</v>
      </c>
      <c r="G51" s="386">
        <f>F51</f>
        <v>0.0270482269887209</v>
      </c>
    </row>
    <row r="52" ht="13.5" customHeight="1" spans="1:7" x14ac:dyDescent="0.25">
      <c r="A52" s="383" t="s">
        <v>590</v>
      </c>
      <c r="B52" s="384">
        <v>17817</v>
      </c>
      <c r="C52" s="385">
        <f>(B52-B51)/B51</f>
        <v>0.0397408963585434</v>
      </c>
      <c r="D52" s="386">
        <f>C52</f>
        <v>0.0397408963585434</v>
      </c>
      <c r="E52" s="384">
        <v>39447</v>
      </c>
      <c r="F52" s="385">
        <f>(E52-E51)/E51</f>
        <v>0.0388717705617445</v>
      </c>
      <c r="G52" s="386">
        <f>F52</f>
        <v>0.0388717705617445</v>
      </c>
    </row>
    <row r="53" ht="13.5" customHeight="1" spans="1:7" x14ac:dyDescent="0.25">
      <c r="A53" s="383" t="s">
        <v>591</v>
      </c>
      <c r="B53" s="384">
        <v>18383</v>
      </c>
      <c r="C53" s="385">
        <f>(B53-B52)/B52</f>
        <v>0.0317674131447494</v>
      </c>
      <c r="D53" s="386">
        <f>C53</f>
        <v>0.0317674131447494</v>
      </c>
      <c r="E53" s="384">
        <v>40955</v>
      </c>
      <c r="F53" s="385">
        <f>(E53-E52)/E52</f>
        <v>0.0382285091388445</v>
      </c>
      <c r="G53" s="386">
        <f>F53</f>
        <v>0.0382285091388445</v>
      </c>
    </row>
    <row r="54" ht="13.5" customHeight="1" spans="1:7" x14ac:dyDescent="0.25">
      <c r="A54" s="383" t="s">
        <v>592</v>
      </c>
      <c r="B54" s="384">
        <v>18931</v>
      </c>
      <c r="C54" s="385">
        <f>(B54-B53)/B53</f>
        <v>0.029810150682696</v>
      </c>
      <c r="D54" s="386">
        <f>C54</f>
        <v>0.029810150682696</v>
      </c>
      <c r="E54" s="384">
        <v>42445</v>
      </c>
      <c r="F54" s="385">
        <f>(E54-E53)/E53</f>
        <v>0.0363813942131608</v>
      </c>
      <c r="G54" s="386">
        <f>F54</f>
        <v>0.0363813942131608</v>
      </c>
    </row>
    <row r="55" ht="13.5" customHeight="1" spans="1:7" x14ac:dyDescent="0.25">
      <c r="A55" s="387" t="s">
        <v>593</v>
      </c>
      <c r="B55" s="388">
        <v>19570</v>
      </c>
      <c r="C55" s="389">
        <f>(B55-B54)/B54</f>
        <v>0.0337541598436427</v>
      </c>
      <c r="D55" s="390">
        <f>C55</f>
        <v>0.0337541598436427</v>
      </c>
      <c r="E55" s="388">
        <v>43870</v>
      </c>
      <c r="F55" s="389">
        <f>(E55-E54)/E54</f>
        <v>0.0335728589939922</v>
      </c>
      <c r="G55" s="390">
        <f>F55</f>
        <v>0.0335728589939922</v>
      </c>
    </row>
    <row r="56" ht="13.5" customHeight="1" spans="1:7" x14ac:dyDescent="0.25">
      <c r="A56" s="387" t="s">
        <v>594</v>
      </c>
      <c r="B56" s="388">
        <v>20150</v>
      </c>
      <c r="C56" s="389">
        <f>(B56-B55)/B55</f>
        <v>0.0296371997956055</v>
      </c>
      <c r="D56" s="390">
        <f>C56</f>
        <v>0.0296371997956055</v>
      </c>
      <c r="E56" s="388">
        <v>45370</v>
      </c>
      <c r="F56" s="389">
        <f>(E56-E55)/E55</f>
        <v>0.0341919307043538</v>
      </c>
      <c r="G56" s="390">
        <f>F56</f>
        <v>0.0341919307043538</v>
      </c>
    </row>
    <row r="57" ht="13.5" customHeight="1" spans="1:7" x14ac:dyDescent="0.25">
      <c r="A57" s="387" t="s">
        <v>595</v>
      </c>
      <c r="B57" s="388">
        <v>20790</v>
      </c>
      <c r="C57" s="389">
        <f>(B57-B56)/B56</f>
        <v>0.0317617866004963</v>
      </c>
      <c r="D57" s="390">
        <f>C57</f>
        <v>0.0317617866004963</v>
      </c>
      <c r="E57" s="388">
        <v>46990</v>
      </c>
      <c r="F57" s="389">
        <f>(E57-E56)/E56</f>
        <v>0.0357064139299096</v>
      </c>
      <c r="G57" s="390">
        <f>F57</f>
        <v>0.0357064139299096</v>
      </c>
    </row>
    <row r="58" ht="13.5" customHeight="1" spans="1:7" x14ac:dyDescent="0.25">
      <c r="A58" s="387" t="s">
        <v>596</v>
      </c>
      <c r="B58" s="388">
        <v>21400</v>
      </c>
      <c r="C58" s="389">
        <f>(B58-B57)/B57</f>
        <v>0.0293410293410293</v>
      </c>
      <c r="D58" s="390">
        <f>C58</f>
        <v>0.0293410293410293</v>
      </c>
      <c r="E58" s="388">
        <v>48290</v>
      </c>
      <c r="F58" s="389">
        <f>(E58-E57)/E57</f>
        <v>0.0276654607363269</v>
      </c>
      <c r="G58" s="390">
        <f>F58</f>
        <v>0.0276654607363269</v>
      </c>
    </row>
    <row r="59" ht="13.5" customHeight="1" spans="1:7" x14ac:dyDescent="0.25">
      <c r="A59" s="387" t="s">
        <v>597</v>
      </c>
      <c r="B59" s="388">
        <v>21950</v>
      </c>
      <c r="C59" s="389">
        <f>(B59-B58)/B58</f>
        <v>0.0257009345794393</v>
      </c>
      <c r="D59" s="390">
        <f>C59</f>
        <v>0.0257009345794393</v>
      </c>
      <c r="E59" s="388">
        <v>49870</v>
      </c>
      <c r="F59" s="389">
        <f>(E59-E58)/E58</f>
        <v>0.0327189894388072</v>
      </c>
      <c r="G59" s="390">
        <f>F59</f>
        <v>0.0327189894388072</v>
      </c>
    </row>
    <row r="60" ht="13.5" customHeight="1" spans="1:7" x14ac:dyDescent="0.25">
      <c r="A60" s="387" t="s">
        <v>598</v>
      </c>
      <c r="B60" s="388">
        <v>22180</v>
      </c>
      <c r="C60" s="389">
        <f>(B60-B59)/B59</f>
        <v>0.0104783599088838</v>
      </c>
      <c r="D60" s="390">
        <f>C60</f>
        <v>0.0104783599088838</v>
      </c>
      <c r="E60" s="388">
        <v>50770</v>
      </c>
      <c r="F60" s="389">
        <f>(E60-E59)/E59</f>
        <v>0.0180469219971927</v>
      </c>
      <c r="G60" s="390">
        <f>F60</f>
        <v>0.0180469219971927</v>
      </c>
    </row>
    <row r="62" ht="30" customHeight="1" spans="1:1" x14ac:dyDescent="0.25">
      <c r="A62" s="391" t="s">
        <v>610</v>
      </c>
    </row>
    <row r="63" ht="12.75" customHeight="1" spans="1:6" x14ac:dyDescent="0.25">
      <c r="A63" s="18" t="s">
        <v>603</v>
      </c>
      <c r="C63" s="393">
        <f>AVERAGE(C56:C60)</f>
        <v>0.0253838620450908</v>
      </c>
      <c r="F63" s="393">
        <f>AVERAGE(F56:F60)</f>
        <v>0.029665943361318</v>
      </c>
    </row>
    <row r="64" ht="12.75" customHeight="1" spans="1:6" x14ac:dyDescent="0.25">
      <c r="A64" s="18" t="s">
        <v>604</v>
      </c>
      <c r="C64" s="393">
        <f>AVERAGE(C51:C60)</f>
        <v>0.0322256748965641</v>
      </c>
      <c r="F64" s="393">
        <f>AVERAGE(F51:F60)</f>
        <v>0.0322432476703053</v>
      </c>
    </row>
    <row r="65" ht="12.75" customHeight="1" spans="1:6" x14ac:dyDescent="0.25">
      <c r="A65" s="18" t="s">
        <v>605</v>
      </c>
      <c r="C65" s="393">
        <f>AVERAGE(C$40:C60)</f>
        <v>0.049453573585648</v>
      </c>
      <c r="F65" s="393">
        <f>AVERAGE(F$40:F60)</f>
        <v>0.0419010136568595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 zoomScale="100" zoomScaleNormal="100" view="normal">
      <selection activeCell="C10" sqref="C10"/>
    </sheetView>
  </sheetViews>
  <sheetFormatPr defaultRowHeight="12.75" outlineLevelRow="0" outlineLevelCol="0" x14ac:dyDescent="0" defaultColWidth="8.83203125" customHeight="1"/>
  <cols>
    <col min="2" max="2" width="14.67" customWidth="1"/>
  </cols>
  <sheetData>
    <row r="1" ht="19.5" customHeight="1" spans="1:1" x14ac:dyDescent="0.25">
      <c r="A1" s="403" t="s">
        <v>611</v>
      </c>
    </row>
    <row r="2" ht="12.75" customHeight="1" spans="1:2" x14ac:dyDescent="0.25">
      <c r="A2" s="20" t="s">
        <v>612</v>
      </c>
      <c r="B2" s="404" t="s">
        <v>613</v>
      </c>
    </row>
    <row r="3" ht="12.75" customHeight="1" spans="1:2" x14ac:dyDescent="0.25">
      <c r="A3" s="20"/>
      <c r="B3" s="404" t="s">
        <v>614</v>
      </c>
    </row>
    <row r="4" ht="12.75" customHeight="1" spans="1:2" x14ac:dyDescent="0.25">
      <c r="A4" s="20"/>
      <c r="B4" s="404"/>
    </row>
    <row r="5" ht="12.75" customHeight="1" spans="1:2" x14ac:dyDescent="0.25">
      <c r="A5" s="20" t="s">
        <v>615</v>
      </c>
      <c r="B5" s="404"/>
    </row>
    <row r="6" ht="12.75" customHeight="1" spans="1:1" x14ac:dyDescent="0.25">
      <c r="A6" s="20"/>
    </row>
    <row r="7" ht="12.75" customHeight="1" spans="1:1" x14ac:dyDescent="0.25">
      <c r="A7" s="20" t="s">
        <v>616</v>
      </c>
    </row>
    <row r="8" ht="13.5" customHeight="1" spans="1:3" x14ac:dyDescent="0.25">
      <c r="A8" s="20"/>
      <c r="B8" s="405" t="s">
        <v>617</v>
      </c>
      <c r="C8" s="406" t="s">
        <v>618</v>
      </c>
    </row>
    <row r="9" ht="12.75" customHeight="1" spans="1:3" x14ac:dyDescent="0.25">
      <c r="A9" s="20"/>
      <c r="B9" s="20" t="s">
        <v>619</v>
      </c>
      <c r="C9">
        <f>COUNTIF($B$16:$B$66,"&gt;=100000")</f>
        <v>51</v>
      </c>
    </row>
    <row r="10" ht="12.75" customHeight="1" spans="1:3" x14ac:dyDescent="0.25">
      <c r="A10" s="20"/>
      <c r="B10" s="20" t="s">
        <v>620</v>
      </c>
      <c r="C10">
        <f>COUNTIF($B$16:$B$66,"&gt;300000")</f>
        <v>46</v>
      </c>
    </row>
    <row r="11" ht="12.75" customHeight="1" spans="1:3" x14ac:dyDescent="0.25">
      <c r="A11" s="20"/>
      <c r="B11" s="20" t="s">
        <v>621</v>
      </c>
      <c r="C11">
        <f>COUNTIF($B$16:$B$66,"&gt;350000")</f>
        <v>39</v>
      </c>
    </row>
    <row r="12" ht="12.75" customHeight="1" spans="1:3" x14ac:dyDescent="0.25">
      <c r="A12" s="20"/>
      <c r="B12" s="20" t="s">
        <v>622</v>
      </c>
      <c r="C12">
        <f>COUNTIF($B$16:$B$66,"&gt;400000")</f>
        <v>31</v>
      </c>
    </row>
    <row r="13" ht="12.75" customHeight="1" spans="1:3" x14ac:dyDescent="0.25">
      <c r="A13" s="20"/>
      <c r="B13" s="20" t="s">
        <v>623</v>
      </c>
      <c r="C13">
        <f>COUNTIF($B$16:$B$66,"&gt;450000")</f>
        <v>24</v>
      </c>
    </row>
    <row r="15" ht="27.75" customHeight="1" spans="1:3" x14ac:dyDescent="0.25">
      <c r="A15" s="407" t="s">
        <v>624</v>
      </c>
      <c r="B15" s="406" t="s">
        <v>625</v>
      </c>
      <c r="C15" s="406"/>
    </row>
    <row r="16" ht="15" customHeight="1" spans="1:2" x14ac:dyDescent="0.25">
      <c r="A16" s="408" t="s">
        <v>626</v>
      </c>
      <c r="B16" s="409">
        <v>475000</v>
      </c>
    </row>
    <row r="17" ht="15" customHeight="1" spans="1:2" x14ac:dyDescent="0.25">
      <c r="A17" s="408" t="s">
        <v>627</v>
      </c>
      <c r="B17" s="409">
        <v>475000</v>
      </c>
    </row>
    <row r="18" ht="15" customHeight="1" spans="1:2" x14ac:dyDescent="0.25">
      <c r="A18" s="408" t="s">
        <v>628</v>
      </c>
      <c r="B18" s="409">
        <v>505000</v>
      </c>
    </row>
    <row r="19" ht="15" customHeight="1" spans="1:2" x14ac:dyDescent="0.25">
      <c r="A19" s="408" t="s">
        <v>629</v>
      </c>
      <c r="B19" s="409">
        <v>366000</v>
      </c>
    </row>
    <row r="20" ht="15" customHeight="1" spans="1:2" x14ac:dyDescent="0.25">
      <c r="A20" s="408" t="s">
        <v>630</v>
      </c>
      <c r="B20" s="409">
        <v>529000</v>
      </c>
    </row>
    <row r="21" ht="15" customHeight="1" spans="1:2" x14ac:dyDescent="0.25">
      <c r="A21" s="408" t="s">
        <v>631</v>
      </c>
      <c r="B21" s="409">
        <v>400000</v>
      </c>
    </row>
    <row r="22" ht="15" customHeight="1" spans="1:2" x14ac:dyDescent="0.25">
      <c r="A22" s="408" t="s">
        <v>632</v>
      </c>
      <c r="B22" s="409">
        <v>300000</v>
      </c>
    </row>
    <row r="23" ht="15" customHeight="1" spans="1:2" x14ac:dyDescent="0.25">
      <c r="A23" s="408" t="s">
        <v>633</v>
      </c>
      <c r="B23" s="409">
        <v>350000</v>
      </c>
    </row>
    <row r="24" ht="15" customHeight="1" spans="1:2" x14ac:dyDescent="0.25">
      <c r="A24" s="408" t="s">
        <v>634</v>
      </c>
      <c r="B24" s="409">
        <v>500000</v>
      </c>
    </row>
    <row r="25" ht="15" customHeight="1" spans="1:2" x14ac:dyDescent="0.25">
      <c r="A25" s="408" t="s">
        <v>635</v>
      </c>
      <c r="B25" s="409">
        <v>418000</v>
      </c>
    </row>
    <row r="26" ht="15" customHeight="1" spans="1:2" x14ac:dyDescent="0.25">
      <c r="A26" s="408" t="s">
        <v>636</v>
      </c>
      <c r="B26" s="409">
        <v>235000</v>
      </c>
    </row>
    <row r="27" ht="15" customHeight="1" spans="1:2" x14ac:dyDescent="0.25">
      <c r="A27" s="408" t="s">
        <v>637</v>
      </c>
      <c r="B27" s="409">
        <v>305000</v>
      </c>
    </row>
    <row r="28" ht="15" customHeight="1" spans="1:2" x14ac:dyDescent="0.25">
      <c r="A28" s="408" t="s">
        <v>638</v>
      </c>
      <c r="B28" s="409">
        <v>500000</v>
      </c>
    </row>
    <row r="29" ht="15" customHeight="1" spans="1:2" x14ac:dyDescent="0.25">
      <c r="A29" s="408" t="s">
        <v>639</v>
      </c>
      <c r="B29" s="409">
        <v>450000</v>
      </c>
    </row>
    <row r="30" ht="15" customHeight="1" spans="1:2" x14ac:dyDescent="0.25">
      <c r="A30" s="408" t="s">
        <v>640</v>
      </c>
      <c r="B30" s="409">
        <v>450000</v>
      </c>
    </row>
    <row r="31" ht="15" customHeight="1" spans="1:2" x14ac:dyDescent="0.25">
      <c r="A31" s="408" t="s">
        <v>641</v>
      </c>
      <c r="B31" s="409">
        <v>420000</v>
      </c>
    </row>
    <row r="32" ht="15" customHeight="1" spans="1:2" x14ac:dyDescent="0.25">
      <c r="A32" s="408" t="s">
        <v>642</v>
      </c>
      <c r="B32" s="409">
        <v>435000</v>
      </c>
    </row>
    <row r="33" ht="15" customHeight="1" spans="1:2" x14ac:dyDescent="0.25">
      <c r="A33" s="408" t="s">
        <v>643</v>
      </c>
      <c r="B33" s="409">
        <v>350000</v>
      </c>
    </row>
    <row r="34" ht="15" customHeight="1" spans="1:2" x14ac:dyDescent="0.25">
      <c r="A34" s="408" t="s">
        <v>644</v>
      </c>
      <c r="B34" s="409">
        <v>500000</v>
      </c>
    </row>
    <row r="35" ht="15" customHeight="1" spans="1:2" x14ac:dyDescent="0.25">
      <c r="A35" s="408" t="s">
        <v>645</v>
      </c>
      <c r="B35" s="409">
        <v>500000</v>
      </c>
    </row>
    <row r="36" ht="15" customHeight="1" spans="1:2" x14ac:dyDescent="0.25">
      <c r="A36" s="408" t="s">
        <v>646</v>
      </c>
      <c r="B36" s="409">
        <v>500000</v>
      </c>
    </row>
    <row r="37" ht="15" customHeight="1" spans="1:2" x14ac:dyDescent="0.25">
      <c r="A37" s="408" t="s">
        <v>647</v>
      </c>
      <c r="B37" s="409">
        <v>400000</v>
      </c>
    </row>
    <row r="38" ht="15" customHeight="1" spans="1:2" x14ac:dyDescent="0.25">
      <c r="A38" s="408" t="s">
        <v>648</v>
      </c>
      <c r="B38" s="409">
        <v>500000</v>
      </c>
    </row>
    <row r="39" ht="15" customHeight="1" spans="1:2" x14ac:dyDescent="0.25">
      <c r="A39" s="408" t="s">
        <v>649</v>
      </c>
      <c r="B39" s="409">
        <v>425000</v>
      </c>
    </row>
    <row r="40" ht="15" customHeight="1" spans="1:2" x14ac:dyDescent="0.25">
      <c r="A40" s="408" t="s">
        <v>650</v>
      </c>
      <c r="B40" s="409">
        <v>235000</v>
      </c>
    </row>
    <row r="41" ht="15" customHeight="1" spans="1:2" x14ac:dyDescent="0.25">
      <c r="A41" s="408" t="s">
        <v>651</v>
      </c>
      <c r="B41" s="409">
        <v>325000</v>
      </c>
    </row>
    <row r="42" ht="15" customHeight="1" spans="1:2" x14ac:dyDescent="0.25">
      <c r="A42" s="408" t="s">
        <v>652</v>
      </c>
      <c r="B42" s="409">
        <v>396000</v>
      </c>
    </row>
    <row r="43" ht="15" customHeight="1" spans="1:2" x14ac:dyDescent="0.25">
      <c r="A43" s="408" t="s">
        <v>653</v>
      </c>
      <c r="B43" s="409">
        <v>500000</v>
      </c>
    </row>
    <row r="44" ht="15" customHeight="1" spans="1:2" x14ac:dyDescent="0.25">
      <c r="A44" s="408" t="s">
        <v>654</v>
      </c>
      <c r="B44" s="409">
        <v>500000</v>
      </c>
    </row>
    <row r="45" ht="15" customHeight="1" spans="1:2" x14ac:dyDescent="0.25">
      <c r="A45" s="408" t="s">
        <v>655</v>
      </c>
      <c r="B45" s="409">
        <v>522000</v>
      </c>
    </row>
    <row r="46" ht="15" customHeight="1" spans="1:2" x14ac:dyDescent="0.25">
      <c r="A46" s="408" t="s">
        <v>656</v>
      </c>
      <c r="B46" s="409">
        <v>305000</v>
      </c>
    </row>
    <row r="47" ht="15" customHeight="1" spans="1:2" x14ac:dyDescent="0.25">
      <c r="A47" s="408" t="s">
        <v>657</v>
      </c>
      <c r="B47" s="409">
        <v>500000</v>
      </c>
    </row>
    <row r="48" ht="15" customHeight="1" spans="1:2" x14ac:dyDescent="0.25">
      <c r="A48" s="408" t="s">
        <v>658</v>
      </c>
      <c r="B48" s="409">
        <v>520000</v>
      </c>
    </row>
    <row r="49" ht="15" customHeight="1" spans="1:2" x14ac:dyDescent="0.25">
      <c r="A49" s="408" t="s">
        <v>659</v>
      </c>
      <c r="B49" s="409">
        <v>450000</v>
      </c>
    </row>
    <row r="50" ht="15" customHeight="1" spans="1:2" x14ac:dyDescent="0.25">
      <c r="A50" s="408" t="s">
        <v>660</v>
      </c>
      <c r="B50" s="409">
        <v>269000</v>
      </c>
    </row>
    <row r="51" ht="15" customHeight="1" spans="1:2" x14ac:dyDescent="0.25">
      <c r="A51" s="408" t="s">
        <v>661</v>
      </c>
      <c r="B51" s="409">
        <v>482000</v>
      </c>
    </row>
    <row r="52" ht="15" customHeight="1" spans="1:2" x14ac:dyDescent="0.25">
      <c r="A52" s="408" t="s">
        <v>662</v>
      </c>
      <c r="B52" s="409">
        <v>300000</v>
      </c>
    </row>
    <row r="53" ht="15" customHeight="1" spans="1:2" x14ac:dyDescent="0.25">
      <c r="A53" s="408" t="s">
        <v>663</v>
      </c>
      <c r="B53" s="409">
        <v>400000</v>
      </c>
    </row>
    <row r="54" ht="15" customHeight="1" spans="1:2" x14ac:dyDescent="0.25">
      <c r="A54" s="408" t="s">
        <v>664</v>
      </c>
      <c r="B54" s="409">
        <v>511758</v>
      </c>
    </row>
    <row r="55" ht="15" customHeight="1" spans="1:2" x14ac:dyDescent="0.25">
      <c r="A55" s="408" t="s">
        <v>665</v>
      </c>
      <c r="B55" s="409">
        <v>500000</v>
      </c>
    </row>
    <row r="56" ht="15" customHeight="1" spans="1:2" x14ac:dyDescent="0.25">
      <c r="A56" s="408" t="s">
        <v>666</v>
      </c>
      <c r="B56" s="409">
        <v>520000</v>
      </c>
    </row>
    <row r="57" ht="15" customHeight="1" spans="1:2" x14ac:dyDescent="0.25">
      <c r="A57" s="408" t="s">
        <v>667</v>
      </c>
      <c r="B57" s="409">
        <v>350000</v>
      </c>
    </row>
    <row r="58" ht="15" customHeight="1" spans="1:2" x14ac:dyDescent="0.25">
      <c r="A58" s="408" t="s">
        <v>668</v>
      </c>
      <c r="B58" s="409">
        <v>350000</v>
      </c>
    </row>
    <row r="59" ht="15" customHeight="1" spans="1:2" x14ac:dyDescent="0.25">
      <c r="A59" s="408" t="s">
        <v>669</v>
      </c>
      <c r="B59" s="409">
        <v>370000</v>
      </c>
    </row>
    <row r="60" ht="15" customHeight="1" spans="1:2" x14ac:dyDescent="0.25">
      <c r="A60" s="408" t="s">
        <v>670</v>
      </c>
      <c r="B60" s="409">
        <v>500000</v>
      </c>
    </row>
    <row r="61" ht="15" customHeight="1" spans="1:2" x14ac:dyDescent="0.25">
      <c r="A61" s="408" t="s">
        <v>671</v>
      </c>
      <c r="B61" s="409">
        <v>352800</v>
      </c>
    </row>
    <row r="62" ht="15" customHeight="1" spans="1:2" x14ac:dyDescent="0.25">
      <c r="A62" s="408" t="s">
        <v>672</v>
      </c>
      <c r="B62" s="409">
        <v>500000</v>
      </c>
    </row>
    <row r="63" ht="15" customHeight="1" spans="1:2" x14ac:dyDescent="0.25">
      <c r="A63" s="408" t="s">
        <v>673</v>
      </c>
      <c r="B63" s="409">
        <v>500000</v>
      </c>
    </row>
    <row r="64" ht="15" customHeight="1" spans="1:2" x14ac:dyDescent="0.25">
      <c r="A64" s="408" t="s">
        <v>674</v>
      </c>
      <c r="B64" s="409">
        <v>400000</v>
      </c>
    </row>
    <row r="65" ht="15" customHeight="1" spans="1:2" x14ac:dyDescent="0.25">
      <c r="A65" s="408" t="s">
        <v>675</v>
      </c>
      <c r="B65" s="409">
        <v>505000</v>
      </c>
    </row>
    <row r="66" ht="15" customHeight="1" spans="1:2" x14ac:dyDescent="0.25">
      <c r="A66" s="408" t="s">
        <v>676</v>
      </c>
      <c r="B66" s="409">
        <v>482000</v>
      </c>
    </row>
  </sheetData>
  <hyperlinks>
    <hyperlink ref="B2" r:id="rId1"/>
    <hyperlink ref="B3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 zoomScale="100" zoomScaleNormal="100" view="normal">
      <selection activeCell="A3" sqref="A3"/>
    </sheetView>
  </sheetViews>
  <sheetFormatPr defaultRowHeight="12.75" outlineLevelRow="0" outlineLevelCol="0" x14ac:dyDescent="0" defaultColWidth="8.83203125" customHeight="1"/>
  <cols>
    <col min="1" max="1" width="28.67" customWidth="1"/>
    <col min="2" max="2" width="8.67" customWidth="1"/>
    <col min="3" max="3" width="11.67" customWidth="1"/>
    <col min="4" max="4" width="8.67" customWidth="1"/>
    <col min="5" max="5" width="11.67" customWidth="1"/>
    <col min="6" max="6" width="8.67" customWidth="1"/>
    <col min="7" max="7" width="12.83" customWidth="1"/>
  </cols>
  <sheetData>
    <row r="1" ht="18" customHeight="1" spans="1:3" x14ac:dyDescent="0.25">
      <c r="A1" s="14" t="s">
        <v>677</v>
      </c>
      <c r="B1" s="15"/>
      <c r="C1" s="15"/>
    </row>
    <row r="2" ht="12.75" customHeight="1" spans="1:3" x14ac:dyDescent="0.25">
      <c r="A2" s="18" t="s">
        <v>678</v>
      </c>
      <c r="B2" s="15"/>
      <c r="C2" s="15"/>
    </row>
    <row r="3" ht="12.75" customHeight="1" spans="1:3" x14ac:dyDescent="0.25">
      <c r="A3" s="18"/>
      <c r="B3" s="15"/>
      <c r="C3" s="15"/>
    </row>
    <row r="4" ht="30" customHeight="1" spans="1:7" x14ac:dyDescent="0.25">
      <c r="A4" s="410" t="s">
        <v>679</v>
      </c>
      <c r="B4" s="55" t="s">
        <v>423</v>
      </c>
      <c r="C4" s="55" t="s">
        <v>680</v>
      </c>
      <c r="D4" s="55" t="s">
        <v>423</v>
      </c>
      <c r="E4" s="55" t="s">
        <v>680</v>
      </c>
      <c r="F4" s="55" t="s">
        <v>423</v>
      </c>
      <c r="G4" s="55" t="s">
        <v>680</v>
      </c>
    </row>
    <row r="5" ht="12.75" customHeight="1" spans="2:7" x14ac:dyDescent="0.25">
      <c r="B5">
        <v>0</v>
      </c>
      <c r="C5">
        <v>100000</v>
      </c>
      <c r="D5">
        <v>37</v>
      </c>
      <c r="E5">
        <v>96921</v>
      </c>
      <c r="F5">
        <v>74</v>
      </c>
      <c r="G5">
        <v>66882</v>
      </c>
    </row>
    <row r="6" ht="12.75" customHeight="1" spans="2:7" x14ac:dyDescent="0.25">
      <c r="B6">
        <v>1</v>
      </c>
      <c r="C6">
        <v>99305</v>
      </c>
      <c r="D6">
        <v>38</v>
      </c>
      <c r="E6">
        <v>96767</v>
      </c>
      <c r="F6">
        <v>75</v>
      </c>
      <c r="G6">
        <v>64561</v>
      </c>
    </row>
    <row r="7" ht="12.75" customHeight="1" spans="2:7" x14ac:dyDescent="0.25">
      <c r="B7">
        <v>2</v>
      </c>
      <c r="C7">
        <v>99255</v>
      </c>
      <c r="D7">
        <v>39</v>
      </c>
      <c r="E7">
        <v>96600</v>
      </c>
      <c r="F7">
        <v>76</v>
      </c>
      <c r="G7">
        <v>62091</v>
      </c>
    </row>
    <row r="8" ht="12.75" customHeight="1" spans="2:7" x14ac:dyDescent="0.25">
      <c r="B8">
        <v>3</v>
      </c>
      <c r="C8">
        <v>99222</v>
      </c>
      <c r="D8">
        <v>40</v>
      </c>
      <c r="E8">
        <v>96419</v>
      </c>
      <c r="F8">
        <v>77</v>
      </c>
      <c r="G8">
        <v>59476</v>
      </c>
    </row>
    <row r="9" ht="12.75" customHeight="1" spans="2:7" x14ac:dyDescent="0.25">
      <c r="B9">
        <v>4</v>
      </c>
      <c r="C9">
        <v>99197</v>
      </c>
      <c r="D9">
        <v>41</v>
      </c>
      <c r="E9">
        <v>96223</v>
      </c>
      <c r="F9">
        <v>78</v>
      </c>
      <c r="G9">
        <v>56721</v>
      </c>
    </row>
    <row r="10" ht="12.75" customHeight="1" spans="2:7" x14ac:dyDescent="0.25">
      <c r="B10">
        <v>5</v>
      </c>
      <c r="C10">
        <v>99176</v>
      </c>
      <c r="D10">
        <v>42</v>
      </c>
      <c r="E10">
        <v>96010</v>
      </c>
      <c r="F10">
        <v>79</v>
      </c>
      <c r="G10">
        <v>53833</v>
      </c>
    </row>
    <row r="11" ht="12.75" customHeight="1" spans="2:7" x14ac:dyDescent="0.25">
      <c r="B11">
        <v>6</v>
      </c>
      <c r="C11">
        <v>99158</v>
      </c>
      <c r="D11">
        <v>43</v>
      </c>
      <c r="E11">
        <v>95782</v>
      </c>
      <c r="F11">
        <v>80</v>
      </c>
      <c r="G11">
        <v>50819</v>
      </c>
    </row>
    <row r="12" ht="12.75" customHeight="1" spans="2:7" x14ac:dyDescent="0.25">
      <c r="B12">
        <v>7</v>
      </c>
      <c r="C12">
        <v>99140</v>
      </c>
      <c r="D12">
        <v>44</v>
      </c>
      <c r="E12">
        <v>95535</v>
      </c>
      <c r="F12">
        <v>81</v>
      </c>
      <c r="G12">
        <v>47694</v>
      </c>
    </row>
    <row r="13" ht="12.75" customHeight="1" spans="2:7" x14ac:dyDescent="0.25">
      <c r="B13">
        <v>8</v>
      </c>
      <c r="C13">
        <v>99124</v>
      </c>
      <c r="D13">
        <v>45</v>
      </c>
      <c r="E13">
        <v>95268</v>
      </c>
      <c r="F13">
        <v>82</v>
      </c>
      <c r="G13">
        <v>44475</v>
      </c>
    </row>
    <row r="14" ht="12.75" customHeight="1" spans="2:7" x14ac:dyDescent="0.25">
      <c r="B14">
        <v>9</v>
      </c>
      <c r="C14">
        <v>99110</v>
      </c>
      <c r="D14">
        <v>46</v>
      </c>
      <c r="E14">
        <v>94981</v>
      </c>
      <c r="F14">
        <v>83</v>
      </c>
      <c r="G14">
        <v>41181</v>
      </c>
    </row>
    <row r="15" ht="12.75" customHeight="1" spans="2:7" x14ac:dyDescent="0.25">
      <c r="B15">
        <v>10</v>
      </c>
      <c r="C15">
        <v>99097</v>
      </c>
      <c r="D15">
        <v>47</v>
      </c>
      <c r="E15">
        <v>94670</v>
      </c>
      <c r="F15">
        <v>84</v>
      </c>
      <c r="G15">
        <v>37837</v>
      </c>
    </row>
    <row r="16" ht="12.75" customHeight="1" spans="2:7" x14ac:dyDescent="0.25">
      <c r="B16">
        <v>11</v>
      </c>
      <c r="C16">
        <v>99085</v>
      </c>
      <c r="D16">
        <v>48</v>
      </c>
      <c r="E16">
        <v>94335</v>
      </c>
      <c r="F16">
        <v>85</v>
      </c>
      <c r="G16">
        <v>34471</v>
      </c>
    </row>
    <row r="17" ht="12.75" customHeight="1" spans="2:7" x14ac:dyDescent="0.25">
      <c r="B17">
        <v>12</v>
      </c>
      <c r="C17">
        <v>99073</v>
      </c>
      <c r="D17">
        <v>49</v>
      </c>
      <c r="E17">
        <v>93975</v>
      </c>
      <c r="F17">
        <v>86</v>
      </c>
      <c r="G17">
        <v>31114</v>
      </c>
    </row>
    <row r="18" ht="12.75" customHeight="1" spans="2:7" x14ac:dyDescent="0.25">
      <c r="B18">
        <v>13</v>
      </c>
      <c r="C18">
        <v>99057</v>
      </c>
      <c r="D18">
        <v>50</v>
      </c>
      <c r="E18">
        <v>93591</v>
      </c>
      <c r="F18">
        <v>87</v>
      </c>
      <c r="G18">
        <v>27799</v>
      </c>
    </row>
    <row r="19" ht="12.75" customHeight="1" spans="2:7" x14ac:dyDescent="0.25">
      <c r="B19">
        <v>14</v>
      </c>
      <c r="C19">
        <v>99033</v>
      </c>
      <c r="D19">
        <v>51</v>
      </c>
      <c r="E19">
        <v>93180</v>
      </c>
      <c r="F19">
        <v>88</v>
      </c>
      <c r="G19">
        <v>24564</v>
      </c>
    </row>
    <row r="20" ht="12.75" customHeight="1" spans="2:7" x14ac:dyDescent="0.25">
      <c r="B20">
        <v>15</v>
      </c>
      <c r="C20">
        <v>98998</v>
      </c>
      <c r="D20">
        <v>52</v>
      </c>
      <c r="E20">
        <v>92741</v>
      </c>
      <c r="F20">
        <v>89</v>
      </c>
      <c r="G20">
        <v>21443</v>
      </c>
    </row>
    <row r="21" ht="12.75" customHeight="1" spans="2:7" x14ac:dyDescent="0.25">
      <c r="B21">
        <v>16</v>
      </c>
      <c r="C21">
        <v>98950</v>
      </c>
      <c r="D21">
        <v>53</v>
      </c>
      <c r="E21">
        <v>92270</v>
      </c>
      <c r="F21">
        <v>90</v>
      </c>
      <c r="G21">
        <v>18472</v>
      </c>
    </row>
    <row r="22" ht="12.75" customHeight="1" spans="2:7" x14ac:dyDescent="0.25">
      <c r="B22">
        <v>17</v>
      </c>
      <c r="C22">
        <v>98891</v>
      </c>
      <c r="D22">
        <v>54</v>
      </c>
      <c r="E22">
        <v>91762</v>
      </c>
      <c r="F22">
        <v>91</v>
      </c>
      <c r="G22">
        <v>15685</v>
      </c>
    </row>
    <row r="23" ht="12.75" customHeight="1" spans="2:7" x14ac:dyDescent="0.25">
      <c r="B23">
        <v>18</v>
      </c>
      <c r="C23">
        <v>98822</v>
      </c>
      <c r="D23">
        <v>55</v>
      </c>
      <c r="E23">
        <v>91211</v>
      </c>
      <c r="F23">
        <v>92</v>
      </c>
      <c r="G23">
        <v>13111</v>
      </c>
    </row>
    <row r="24" ht="12.75" customHeight="1" spans="2:7" x14ac:dyDescent="0.25">
      <c r="B24">
        <v>19</v>
      </c>
      <c r="C24">
        <v>98745</v>
      </c>
      <c r="D24">
        <v>56</v>
      </c>
      <c r="E24">
        <v>90607</v>
      </c>
      <c r="F24">
        <v>93</v>
      </c>
      <c r="G24">
        <v>10773</v>
      </c>
    </row>
    <row r="25" ht="12.75" customHeight="1" spans="2:7" x14ac:dyDescent="0.25">
      <c r="B25">
        <v>20</v>
      </c>
      <c r="C25">
        <v>98664</v>
      </c>
      <c r="D25">
        <v>57</v>
      </c>
      <c r="E25">
        <v>89947</v>
      </c>
      <c r="F25">
        <v>94</v>
      </c>
      <c r="G25">
        <v>8690</v>
      </c>
    </row>
    <row r="26" ht="12.75" customHeight="1" spans="2:7" x14ac:dyDescent="0.25">
      <c r="B26">
        <v>21</v>
      </c>
      <c r="C26">
        <v>98577</v>
      </c>
      <c r="D26">
        <v>58</v>
      </c>
      <c r="E26">
        <v>89225</v>
      </c>
      <c r="F26">
        <v>95</v>
      </c>
      <c r="G26">
        <v>6871</v>
      </c>
    </row>
    <row r="27" ht="12.75" customHeight="1" spans="2:7" x14ac:dyDescent="0.25">
      <c r="B27">
        <v>22</v>
      </c>
      <c r="C27">
        <v>98485</v>
      </c>
      <c r="D27">
        <v>59</v>
      </c>
      <c r="E27">
        <v>88441</v>
      </c>
      <c r="F27">
        <v>96</v>
      </c>
      <c r="G27">
        <v>5315</v>
      </c>
    </row>
    <row r="28" ht="12.75" customHeight="1" spans="2:7" x14ac:dyDescent="0.25">
      <c r="B28">
        <v>23</v>
      </c>
      <c r="C28">
        <v>98390</v>
      </c>
      <c r="D28">
        <v>60</v>
      </c>
      <c r="E28">
        <v>87595</v>
      </c>
      <c r="F28">
        <v>97</v>
      </c>
      <c r="G28">
        <v>4016</v>
      </c>
    </row>
    <row r="29" ht="12.75" customHeight="1" spans="2:7" x14ac:dyDescent="0.25">
      <c r="B29">
        <v>24</v>
      </c>
      <c r="C29">
        <v>98295</v>
      </c>
      <c r="D29">
        <v>61</v>
      </c>
      <c r="E29">
        <v>86681</v>
      </c>
      <c r="F29">
        <v>98</v>
      </c>
      <c r="G29">
        <v>2959</v>
      </c>
    </row>
    <row r="30" ht="12.75" customHeight="1" spans="2:7" x14ac:dyDescent="0.25">
      <c r="B30">
        <v>25</v>
      </c>
      <c r="C30">
        <v>98202</v>
      </c>
      <c r="D30">
        <v>62</v>
      </c>
      <c r="E30">
        <v>85691</v>
      </c>
      <c r="F30">
        <v>99</v>
      </c>
      <c r="G30">
        <v>2122</v>
      </c>
    </row>
    <row r="31" ht="12.75" customHeight="1" spans="2:7" x14ac:dyDescent="0.25">
      <c r="B31">
        <v>26</v>
      </c>
      <c r="C31">
        <v>98111</v>
      </c>
      <c r="D31">
        <v>63</v>
      </c>
      <c r="E31">
        <v>84620</v>
      </c>
      <c r="F31">
        <v>100</v>
      </c>
      <c r="G31">
        <v>1477</v>
      </c>
    </row>
    <row r="32" ht="12.75" customHeight="1" spans="2:7" x14ac:dyDescent="0.25">
      <c r="B32">
        <v>27</v>
      </c>
      <c r="C32">
        <v>98022</v>
      </c>
      <c r="D32">
        <v>64</v>
      </c>
      <c r="E32">
        <v>83465</v>
      </c>
      <c r="F32">
        <v>101</v>
      </c>
      <c r="G32">
        <v>997</v>
      </c>
    </row>
    <row r="33" ht="12.75" customHeight="1" spans="2:7" x14ac:dyDescent="0.25">
      <c r="B33">
        <v>28</v>
      </c>
      <c r="C33">
        <v>97934</v>
      </c>
      <c r="D33">
        <v>65</v>
      </c>
      <c r="E33">
        <v>82224</v>
      </c>
      <c r="F33">
        <v>102</v>
      </c>
      <c r="G33">
        <v>650</v>
      </c>
    </row>
    <row r="34" ht="12.75" customHeight="1" spans="2:7" x14ac:dyDescent="0.25">
      <c r="B34">
        <v>29</v>
      </c>
      <c r="C34">
        <v>97844</v>
      </c>
      <c r="D34">
        <v>66</v>
      </c>
      <c r="E34">
        <v>80916</v>
      </c>
      <c r="F34">
        <v>103</v>
      </c>
      <c r="G34">
        <v>410</v>
      </c>
    </row>
    <row r="35" ht="12.75" customHeight="1" spans="2:7" x14ac:dyDescent="0.25">
      <c r="B35">
        <v>30</v>
      </c>
      <c r="C35">
        <v>97750</v>
      </c>
      <c r="D35">
        <v>67</v>
      </c>
      <c r="E35">
        <v>79530</v>
      </c>
      <c r="F35">
        <v>104</v>
      </c>
      <c r="G35">
        <v>248</v>
      </c>
    </row>
    <row r="36" ht="12.75" customHeight="1" spans="2:7" x14ac:dyDescent="0.25">
      <c r="B36">
        <v>31</v>
      </c>
      <c r="C36">
        <v>97652</v>
      </c>
      <c r="D36">
        <v>68</v>
      </c>
      <c r="E36">
        <v>78054</v>
      </c>
      <c r="F36">
        <v>105</v>
      </c>
      <c r="G36">
        <v>144</v>
      </c>
    </row>
    <row r="37" ht="12.75" customHeight="1" spans="2:7" x14ac:dyDescent="0.25">
      <c r="B37">
        <v>32</v>
      </c>
      <c r="C37">
        <v>97549</v>
      </c>
      <c r="D37">
        <v>69</v>
      </c>
      <c r="E37">
        <v>76478</v>
      </c>
      <c r="F37">
        <v>106</v>
      </c>
      <c r="G37">
        <v>81</v>
      </c>
    </row>
    <row r="38" ht="12.75" customHeight="1" spans="2:7" x14ac:dyDescent="0.25">
      <c r="B38">
        <v>33</v>
      </c>
      <c r="C38">
        <v>97441</v>
      </c>
      <c r="D38">
        <v>70</v>
      </c>
      <c r="E38">
        <v>74794</v>
      </c>
      <c r="F38">
        <v>107</v>
      </c>
      <c r="G38">
        <v>43</v>
      </c>
    </row>
    <row r="39" ht="12.75" customHeight="1" spans="2:7" x14ac:dyDescent="0.25">
      <c r="B39">
        <v>34</v>
      </c>
      <c r="C39">
        <v>97324</v>
      </c>
      <c r="D39">
        <v>71</v>
      </c>
      <c r="E39">
        <v>73001</v>
      </c>
      <c r="F39">
        <v>108</v>
      </c>
      <c r="G39">
        <v>22</v>
      </c>
    </row>
    <row r="40" ht="12.75" customHeight="1" spans="2:7" x14ac:dyDescent="0.25">
      <c r="B40">
        <v>35</v>
      </c>
      <c r="C40">
        <v>97199</v>
      </c>
      <c r="D40">
        <v>72</v>
      </c>
      <c r="E40">
        <v>71092</v>
      </c>
      <c r="F40">
        <v>109</v>
      </c>
      <c r="G40">
        <v>11</v>
      </c>
    </row>
    <row r="41" ht="12.75" customHeight="1" spans="2:7" x14ac:dyDescent="0.25">
      <c r="B41">
        <v>36</v>
      </c>
      <c r="C41">
        <v>97065</v>
      </c>
      <c r="D41">
        <v>73</v>
      </c>
      <c r="E41">
        <v>69056</v>
      </c>
      <c r="F41">
        <v>110</v>
      </c>
      <c r="G41">
        <v>0</v>
      </c>
    </row>
    <row r="42" ht="12.75" customHeight="1" spans="1:2" x14ac:dyDescent="0.25">
      <c r="A42" s="18"/>
      <c r="B42" s="15"/>
    </row>
    <row r="43" ht="12.75" customHeight="1" spans="1:2" x14ac:dyDescent="0.25">
      <c r="A43" s="18"/>
      <c r="B43" s="15"/>
    </row>
    <row r="44" ht="12.75" customHeight="1" spans="1:2" x14ac:dyDescent="0.25">
      <c r="A44" s="27" t="s">
        <v>681</v>
      </c>
      <c r="B44" s="15"/>
    </row>
    <row r="45" ht="30" customHeight="1" spans="1:7" x14ac:dyDescent="0.25">
      <c r="A45" s="410" t="s">
        <v>682</v>
      </c>
      <c r="B45" s="55" t="s">
        <v>423</v>
      </c>
      <c r="C45" s="55" t="s">
        <v>680</v>
      </c>
      <c r="D45" s="55" t="s">
        <v>423</v>
      </c>
      <c r="E45" s="55" t="s">
        <v>680</v>
      </c>
      <c r="F45" s="55" t="s">
        <v>423</v>
      </c>
      <c r="G45" s="55" t="s">
        <v>680</v>
      </c>
    </row>
    <row r="46" ht="12.75" customHeight="1" spans="2:7" x14ac:dyDescent="0.25">
      <c r="B46" s="15">
        <v>0</v>
      </c>
      <c r="C46" s="107">
        <v>100000</v>
      </c>
      <c r="D46" s="15">
        <v>37</v>
      </c>
      <c r="E46" s="107">
        <v>95969</v>
      </c>
      <c r="F46" s="15">
        <v>74</v>
      </c>
      <c r="G46" s="107">
        <v>62852</v>
      </c>
    </row>
    <row r="47" ht="12.75" customHeight="1" spans="2:7" x14ac:dyDescent="0.25">
      <c r="B47" s="15">
        <v>1</v>
      </c>
      <c r="C47" s="107">
        <v>99064</v>
      </c>
      <c r="D47" s="15">
        <v>38</v>
      </c>
      <c r="E47" s="107">
        <v>95780</v>
      </c>
      <c r="F47" s="15">
        <v>75</v>
      </c>
      <c r="G47" s="107">
        <v>60449</v>
      </c>
    </row>
    <row r="48" ht="12.75" customHeight="1" spans="2:7" x14ac:dyDescent="0.25">
      <c r="B48" s="15">
        <v>2</v>
      </c>
      <c r="C48" s="107">
        <v>98992</v>
      </c>
      <c r="D48" s="15">
        <v>39</v>
      </c>
      <c r="E48" s="107">
        <v>95581</v>
      </c>
      <c r="F48" s="15">
        <v>76</v>
      </c>
      <c r="G48" s="107">
        <v>60449</v>
      </c>
    </row>
    <row r="49" ht="12.75" customHeight="1" spans="2:7" x14ac:dyDescent="0.25">
      <c r="B49" s="15">
        <v>3</v>
      </c>
      <c r="C49" s="107">
        <v>98944</v>
      </c>
      <c r="D49" s="15">
        <v>40</v>
      </c>
      <c r="E49" s="107">
        <v>95373</v>
      </c>
      <c r="F49" s="15">
        <v>77</v>
      </c>
      <c r="G49" s="107">
        <v>52704</v>
      </c>
    </row>
    <row r="50" ht="12.75" customHeight="1" spans="2:7" x14ac:dyDescent="0.25">
      <c r="B50" s="15">
        <v>4</v>
      </c>
      <c r="C50" s="107">
        <v>98907</v>
      </c>
      <c r="D50" s="15">
        <v>41</v>
      </c>
      <c r="E50" s="107">
        <v>95156</v>
      </c>
      <c r="F50" s="15">
        <v>78</v>
      </c>
      <c r="G50" s="107">
        <v>52704</v>
      </c>
    </row>
    <row r="51" ht="12.75" customHeight="1" spans="2:7" x14ac:dyDescent="0.25">
      <c r="B51" s="15">
        <v>5</v>
      </c>
      <c r="C51" s="107">
        <v>98877</v>
      </c>
      <c r="D51" s="15">
        <v>42</v>
      </c>
      <c r="E51" s="107">
        <v>94928</v>
      </c>
      <c r="F51" s="15">
        <v>79</v>
      </c>
      <c r="G51" s="107">
        <v>49943</v>
      </c>
    </row>
    <row r="52" ht="12.75" customHeight="1" spans="2:7" x14ac:dyDescent="0.25">
      <c r="B52" s="15">
        <v>6</v>
      </c>
      <c r="C52" s="411">
        <v>98850</v>
      </c>
      <c r="D52" s="15">
        <v>43</v>
      </c>
      <c r="E52" s="107">
        <v>94687</v>
      </c>
      <c r="F52" s="15">
        <v>80</v>
      </c>
      <c r="G52" s="107">
        <v>47084</v>
      </c>
    </row>
    <row r="53" ht="12.75" customHeight="1" spans="2:7" x14ac:dyDescent="0.25">
      <c r="B53" s="15">
        <v>7</v>
      </c>
      <c r="C53" s="411">
        <v>98826</v>
      </c>
      <c r="D53" s="15">
        <v>44</v>
      </c>
      <c r="E53" s="107">
        <v>94431</v>
      </c>
      <c r="F53" s="15">
        <v>81</v>
      </c>
      <c r="G53" s="107">
        <v>44129</v>
      </c>
    </row>
    <row r="54" ht="12.75" customHeight="1" spans="2:7" x14ac:dyDescent="0.25">
      <c r="B54" s="15">
        <v>8</v>
      </c>
      <c r="C54" s="411">
        <v>98803</v>
      </c>
      <c r="D54" s="15">
        <v>45</v>
      </c>
      <c r="E54" s="107">
        <v>94154</v>
      </c>
      <c r="F54" s="15">
        <v>82</v>
      </c>
      <c r="G54" s="107">
        <v>41091</v>
      </c>
    </row>
    <row r="55" ht="12.75" customHeight="1" spans="2:7" x14ac:dyDescent="0.25">
      <c r="B55" s="15">
        <v>9</v>
      </c>
      <c r="C55" s="411">
        <v>98783</v>
      </c>
      <c r="D55" s="15">
        <v>46</v>
      </c>
      <c r="E55" s="107">
        <v>93855</v>
      </c>
      <c r="F55" s="15">
        <v>83</v>
      </c>
      <c r="G55" s="107">
        <v>37994</v>
      </c>
    </row>
    <row r="56" ht="12.75" customHeight="1" spans="2:7" x14ac:dyDescent="0.25">
      <c r="B56" s="15">
        <v>10</v>
      </c>
      <c r="C56" s="411">
        <v>98766</v>
      </c>
      <c r="D56" s="15">
        <v>47</v>
      </c>
      <c r="E56" s="107">
        <v>93528</v>
      </c>
      <c r="F56" s="15">
        <v>84</v>
      </c>
      <c r="G56" s="107">
        <v>34876</v>
      </c>
    </row>
    <row r="57" ht="12.75" customHeight="1" spans="2:7" x14ac:dyDescent="0.25">
      <c r="B57" s="15">
        <v>11</v>
      </c>
      <c r="C57" s="411">
        <v>98750</v>
      </c>
      <c r="D57" s="15">
        <v>48</v>
      </c>
      <c r="E57" s="107">
        <v>93173</v>
      </c>
      <c r="F57" s="15">
        <v>85</v>
      </c>
      <c r="G57" s="107">
        <v>31770</v>
      </c>
    </row>
    <row r="58" ht="12.75" customHeight="1" spans="2:7" x14ac:dyDescent="0.25">
      <c r="B58" s="15">
        <v>12</v>
      </c>
      <c r="C58" s="411">
        <v>98734</v>
      </c>
      <c r="D58" s="15">
        <v>49</v>
      </c>
      <c r="E58" s="107">
        <v>92787</v>
      </c>
      <c r="F58" s="15">
        <v>86</v>
      </c>
      <c r="G58" s="107">
        <v>28687</v>
      </c>
    </row>
    <row r="59" ht="12.75" customHeight="1" spans="2:7" x14ac:dyDescent="0.25">
      <c r="B59" s="15">
        <v>13</v>
      </c>
      <c r="C59" s="411">
        <v>98713</v>
      </c>
      <c r="D59" s="15">
        <v>50</v>
      </c>
      <c r="E59" s="107">
        <v>92370</v>
      </c>
      <c r="F59" s="15">
        <v>87</v>
      </c>
      <c r="G59" s="107">
        <v>25638</v>
      </c>
    </row>
    <row r="60" ht="12.75" customHeight="1" spans="2:7" x14ac:dyDescent="0.25">
      <c r="B60" s="15">
        <v>14</v>
      </c>
      <c r="C60" s="411">
        <v>98681</v>
      </c>
      <c r="D60" s="15">
        <v>51</v>
      </c>
      <c r="E60" s="107">
        <v>91918</v>
      </c>
      <c r="F60" s="305">
        <v>88</v>
      </c>
      <c r="G60">
        <v>22658</v>
      </c>
    </row>
    <row r="61" ht="12.75" customHeight="1" spans="2:7" x14ac:dyDescent="0.25">
      <c r="B61" s="15">
        <v>15</v>
      </c>
      <c r="C61" s="411">
        <v>98635</v>
      </c>
      <c r="D61" s="15">
        <v>52</v>
      </c>
      <c r="E61" s="107">
        <v>91424</v>
      </c>
      <c r="F61" s="15">
        <v>89</v>
      </c>
      <c r="G61">
        <v>19783</v>
      </c>
    </row>
    <row r="62" ht="12.75" customHeight="1" spans="2:7" x14ac:dyDescent="0.25">
      <c r="B62" s="15">
        <v>16</v>
      </c>
      <c r="C62" s="411">
        <v>98573</v>
      </c>
      <c r="D62" s="15">
        <v>53</v>
      </c>
      <c r="E62" s="107">
        <v>90885</v>
      </c>
      <c r="F62" s="15">
        <v>90</v>
      </c>
      <c r="G62">
        <v>17046</v>
      </c>
    </row>
    <row r="63" ht="12.75" customHeight="1" spans="2:7" x14ac:dyDescent="0.25">
      <c r="B63" s="15">
        <v>17</v>
      </c>
      <c r="C63" s="411">
        <v>98497</v>
      </c>
      <c r="D63" s="15">
        <v>54</v>
      </c>
      <c r="E63" s="411">
        <v>90297</v>
      </c>
      <c r="F63">
        <v>91</v>
      </c>
      <c r="G63">
        <v>14466</v>
      </c>
    </row>
    <row r="64" ht="12.75" customHeight="1" spans="2:7" x14ac:dyDescent="0.25">
      <c r="B64" s="15">
        <v>18</v>
      </c>
      <c r="C64" s="411">
        <v>98409</v>
      </c>
      <c r="D64" s="15">
        <v>55</v>
      </c>
      <c r="E64" s="411">
        <v>89658</v>
      </c>
      <c r="F64">
        <v>92</v>
      </c>
      <c r="G64">
        <v>12066</v>
      </c>
    </row>
    <row r="65" ht="12.75" customHeight="1" spans="2:7" x14ac:dyDescent="0.25">
      <c r="B65" s="15">
        <v>19</v>
      </c>
      <c r="C65" s="411">
        <v>98314</v>
      </c>
      <c r="D65" s="15">
        <v>56</v>
      </c>
      <c r="E65" s="411">
        <v>88965</v>
      </c>
      <c r="F65">
        <v>93</v>
      </c>
      <c r="G65">
        <v>9884</v>
      </c>
    </row>
    <row r="66" ht="12.75" customHeight="1" spans="2:7" x14ac:dyDescent="0.25">
      <c r="B66" s="15">
        <v>20</v>
      </c>
      <c r="C66" s="411">
        <v>98215</v>
      </c>
      <c r="D66" s="15">
        <v>57</v>
      </c>
      <c r="E66" s="411">
        <v>88214</v>
      </c>
      <c r="F66">
        <v>94</v>
      </c>
      <c r="G66">
        <v>7951</v>
      </c>
    </row>
    <row r="67" ht="12.75" customHeight="1" spans="2:7" x14ac:dyDescent="0.25">
      <c r="B67" s="15">
        <v>21</v>
      </c>
      <c r="C67" s="411">
        <v>98113</v>
      </c>
      <c r="D67" s="15">
        <v>58</v>
      </c>
      <c r="E67" s="411">
        <v>87397</v>
      </c>
      <c r="F67">
        <v>95</v>
      </c>
      <c r="G67">
        <v>6282</v>
      </c>
    </row>
    <row r="68" ht="12.75" customHeight="1" spans="2:7" x14ac:dyDescent="0.25">
      <c r="B68" s="15">
        <v>22</v>
      </c>
      <c r="C68" s="411">
        <v>98006</v>
      </c>
      <c r="D68" s="15">
        <v>59</v>
      </c>
      <c r="E68" s="411">
        <v>86506</v>
      </c>
      <c r="F68">
        <v>96</v>
      </c>
      <c r="G68">
        <v>4868</v>
      </c>
    </row>
    <row r="69" ht="12.75" customHeight="1" spans="2:7" x14ac:dyDescent="0.25">
      <c r="B69" s="15">
        <v>23</v>
      </c>
      <c r="C69" s="411">
        <v>97896</v>
      </c>
      <c r="D69" s="15">
        <v>60</v>
      </c>
      <c r="E69" s="411">
        <v>85537</v>
      </c>
      <c r="F69">
        <v>97</v>
      </c>
      <c r="G69">
        <v>3694</v>
      </c>
    </row>
    <row r="70" ht="12.75" customHeight="1" spans="2:7" x14ac:dyDescent="0.25">
      <c r="B70" s="15">
        <v>24</v>
      </c>
      <c r="C70" s="411">
        <v>97784</v>
      </c>
      <c r="D70" s="15">
        <v>61</v>
      </c>
      <c r="E70" s="411">
        <v>84490</v>
      </c>
      <c r="F70">
        <v>98</v>
      </c>
      <c r="G70">
        <v>2745</v>
      </c>
    </row>
    <row r="71" ht="12.75" customHeight="1" spans="2:7" x14ac:dyDescent="0.25">
      <c r="B71" s="15">
        <v>25</v>
      </c>
      <c r="C71" s="411">
        <v>97671</v>
      </c>
      <c r="D71" s="15">
        <v>62</v>
      </c>
      <c r="E71" s="411">
        <v>83368</v>
      </c>
      <c r="F71">
        <v>99</v>
      </c>
      <c r="G71">
        <v>1999</v>
      </c>
    </row>
    <row r="72" ht="12.75" customHeight="1" spans="2:7" x14ac:dyDescent="0.25">
      <c r="B72" s="15">
        <v>26</v>
      </c>
      <c r="C72" s="411">
        <v>97556</v>
      </c>
      <c r="D72" s="15">
        <v>63</v>
      </c>
      <c r="E72" s="411">
        <v>82169</v>
      </c>
      <c r="F72">
        <v>100</v>
      </c>
      <c r="G72">
        <v>1424</v>
      </c>
    </row>
    <row r="73" ht="12.75" customHeight="1" spans="2:7" x14ac:dyDescent="0.25">
      <c r="B73" s="15">
        <v>27</v>
      </c>
      <c r="C73" s="411">
        <v>97441</v>
      </c>
      <c r="D73" s="15">
        <v>64</v>
      </c>
      <c r="E73" s="411">
        <v>80887</v>
      </c>
      <c r="F73">
        <v>101</v>
      </c>
      <c r="G73">
        <v>991</v>
      </c>
    </row>
    <row r="74" ht="12.75" customHeight="1" spans="2:7" x14ac:dyDescent="0.25">
      <c r="B74" s="15">
        <v>28</v>
      </c>
      <c r="C74" s="411">
        <v>97322</v>
      </c>
      <c r="D74" s="15">
        <v>65</v>
      </c>
      <c r="E74" s="411">
        <v>79519</v>
      </c>
      <c r="F74">
        <v>102</v>
      </c>
      <c r="G74">
        <v>672</v>
      </c>
    </row>
    <row r="75" ht="12.75" customHeight="1" spans="2:7" x14ac:dyDescent="0.25">
      <c r="B75" s="15">
        <v>29</v>
      </c>
      <c r="C75" s="411">
        <v>97199</v>
      </c>
      <c r="D75" s="15">
        <v>66</v>
      </c>
      <c r="E75" s="411">
        <v>78066</v>
      </c>
      <c r="F75">
        <v>103</v>
      </c>
      <c r="G75">
        <v>443</v>
      </c>
    </row>
    <row r="76" ht="12.75" customHeight="1" spans="2:7" x14ac:dyDescent="0.25">
      <c r="B76" s="15">
        <v>30</v>
      </c>
      <c r="C76" s="411">
        <v>97070</v>
      </c>
      <c r="D76" s="15">
        <v>67</v>
      </c>
      <c r="E76" s="411">
        <v>76531</v>
      </c>
      <c r="F76">
        <v>104</v>
      </c>
      <c r="G76">
        <v>284</v>
      </c>
    </row>
    <row r="77" ht="12.75" customHeight="1" spans="2:7" x14ac:dyDescent="0.25">
      <c r="B77" s="15">
        <v>31</v>
      </c>
      <c r="C77" s="411">
        <v>96934</v>
      </c>
      <c r="D77" s="15">
        <v>68</v>
      </c>
      <c r="E77" s="411">
        <v>74907</v>
      </c>
      <c r="F77">
        <v>105</v>
      </c>
      <c r="G77">
        <v>175</v>
      </c>
    </row>
    <row r="78" ht="12.75" customHeight="1" spans="2:7" x14ac:dyDescent="0.25">
      <c r="B78" s="15">
        <v>32</v>
      </c>
      <c r="C78" s="411">
        <v>96791</v>
      </c>
      <c r="D78" s="15">
        <v>69</v>
      </c>
      <c r="E78" s="411">
        <v>73186</v>
      </c>
      <c r="F78">
        <v>106</v>
      </c>
      <c r="G78">
        <v>105</v>
      </c>
    </row>
    <row r="79" ht="12.75" customHeight="1" spans="2:7" x14ac:dyDescent="0.25">
      <c r="B79" s="15">
        <v>33</v>
      </c>
      <c r="C79" s="411">
        <v>96642</v>
      </c>
      <c r="D79" s="15">
        <v>70</v>
      </c>
      <c r="E79" s="411">
        <v>71357</v>
      </c>
      <c r="F79">
        <v>107</v>
      </c>
      <c r="G79">
        <v>60</v>
      </c>
    </row>
    <row r="80" ht="12.75" customHeight="1" spans="2:7" x14ac:dyDescent="0.25">
      <c r="B80" s="15">
        <v>34</v>
      </c>
      <c r="C80" s="411">
        <v>96485</v>
      </c>
      <c r="D80" s="15">
        <v>71</v>
      </c>
      <c r="E80" s="411">
        <v>69411</v>
      </c>
      <c r="F80">
        <v>108</v>
      </c>
      <c r="G80" s="411">
        <v>33</v>
      </c>
    </row>
    <row r="81" ht="12.75" customHeight="1" spans="2:7" x14ac:dyDescent="0.25">
      <c r="B81" s="15">
        <v>35</v>
      </c>
      <c r="C81" s="411">
        <v>96322</v>
      </c>
      <c r="D81" s="15">
        <v>72</v>
      </c>
      <c r="E81" s="411">
        <v>67344</v>
      </c>
      <c r="F81">
        <v>109</v>
      </c>
      <c r="G81" s="411">
        <v>17</v>
      </c>
    </row>
    <row r="82" ht="12.75" customHeight="1" spans="2:7" x14ac:dyDescent="0.25">
      <c r="B82" s="15">
        <v>36</v>
      </c>
      <c r="C82" s="411">
        <v>96150</v>
      </c>
      <c r="D82" s="15">
        <v>73</v>
      </c>
      <c r="E82" s="411">
        <v>65154</v>
      </c>
      <c r="F82">
        <v>110</v>
      </c>
      <c r="G82" s="411">
        <v>0</v>
      </c>
    </row>
    <row r="84" ht="12.75" customHeight="1" spans="2:2" x14ac:dyDescent="0.25">
      <c r="B84" s="15" t="s">
        <v>683</v>
      </c>
    </row>
    <row r="86" ht="30" customHeight="1" spans="1:2" x14ac:dyDescent="0.25">
      <c r="A86" s="410" t="s">
        <v>684</v>
      </c>
      <c r="B86" t="s">
        <v>685</v>
      </c>
    </row>
    <row r="89" ht="12.75" customHeight="1" spans="1:1" x14ac:dyDescent="0.25">
      <c r="A89" s="16"/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3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8.83203125" customHeight="1"/>
  <cols>
    <col min="1" max="1" width="28.5" customWidth="1"/>
    <col min="2" max="2" width="8.67" customWidth="1"/>
    <col min="3" max="3" width="12.67" customWidth="1"/>
    <col min="4" max="4" width="8.67" customWidth="1"/>
    <col min="5" max="5" width="12.67" customWidth="1"/>
    <col min="6" max="6" width="8.67" customWidth="1"/>
    <col min="7" max="9" width="12.67" customWidth="1"/>
  </cols>
  <sheetData>
    <row r="1" ht="18" customHeight="1" spans="1:3" x14ac:dyDescent="0.25">
      <c r="A1" s="14" t="s">
        <v>686</v>
      </c>
      <c r="B1" s="15"/>
      <c r="C1" s="15"/>
    </row>
    <row r="2" ht="12.75" customHeight="1" spans="1:3" x14ac:dyDescent="0.25">
      <c r="A2" s="18" t="s">
        <v>687</v>
      </c>
      <c r="B2" s="15"/>
      <c r="C2" s="15"/>
    </row>
    <row r="3" ht="12.75" customHeight="1" spans="1:3" x14ac:dyDescent="0.25">
      <c r="A3" s="18" t="s">
        <v>688</v>
      </c>
      <c r="B3" s="15"/>
      <c r="C3" s="15"/>
    </row>
    <row r="4" ht="12.75" customHeight="1" spans="1:3" x14ac:dyDescent="0.25">
      <c r="A4" s="18"/>
      <c r="B4" s="15"/>
      <c r="C4" s="15"/>
    </row>
    <row r="5" ht="13.5" customHeight="1" spans="1:2" x14ac:dyDescent="0.25">
      <c r="A5" s="22" t="s">
        <v>689</v>
      </c>
      <c r="B5" s="15"/>
    </row>
    <row r="6" ht="12.75" customHeight="1" spans="1:2" x14ac:dyDescent="0.25">
      <c r="A6" s="15" t="s">
        <v>690</v>
      </c>
      <c r="B6" s="15"/>
    </row>
    <row r="7" ht="27.75" customHeight="1" spans="1:7" x14ac:dyDescent="0.25">
      <c r="A7" s="20" t="s">
        <v>691</v>
      </c>
      <c r="B7" s="55" t="s">
        <v>423</v>
      </c>
      <c r="C7" s="55" t="s">
        <v>680</v>
      </c>
      <c r="D7" s="55" t="s">
        <v>423</v>
      </c>
      <c r="E7" s="55" t="s">
        <v>680</v>
      </c>
      <c r="F7" s="55" t="s">
        <v>423</v>
      </c>
      <c r="G7" s="55" t="s">
        <v>680</v>
      </c>
    </row>
    <row r="8" ht="12.75" customHeight="1" spans="1:7" x14ac:dyDescent="0.25">
      <c r="A8" s="55"/>
      <c r="B8" s="15">
        <v>70</v>
      </c>
      <c r="C8" s="310">
        <v>27.4</v>
      </c>
      <c r="D8" s="15">
        <v>86</v>
      </c>
      <c r="E8" s="310">
        <v>14.1</v>
      </c>
      <c r="F8" s="15">
        <v>101</v>
      </c>
      <c r="G8" s="310">
        <v>5.9</v>
      </c>
    </row>
    <row r="9" ht="12.75" customHeight="1" spans="2:7" x14ac:dyDescent="0.25">
      <c r="B9" s="15">
        <v>71</v>
      </c>
      <c r="C9" s="310">
        <v>26.5</v>
      </c>
      <c r="D9" s="15">
        <v>87</v>
      </c>
      <c r="E9" s="310">
        <v>13.4</v>
      </c>
      <c r="F9" s="15">
        <v>102</v>
      </c>
      <c r="G9" s="310">
        <v>5.5</v>
      </c>
    </row>
    <row r="10" ht="12.75" customHeight="1" spans="2:7" x14ac:dyDescent="0.25">
      <c r="B10" s="15">
        <v>72</v>
      </c>
      <c r="C10" s="310">
        <v>25.6</v>
      </c>
      <c r="D10" s="15">
        <v>88</v>
      </c>
      <c r="E10" s="310">
        <v>12.7</v>
      </c>
      <c r="F10" s="15">
        <v>103</v>
      </c>
      <c r="G10" s="310">
        <v>5.2</v>
      </c>
    </row>
    <row r="11" ht="12.75" customHeight="1" spans="2:7" x14ac:dyDescent="0.25">
      <c r="B11" s="15">
        <v>73</v>
      </c>
      <c r="C11" s="310">
        <v>24.7</v>
      </c>
      <c r="D11" s="15">
        <v>89</v>
      </c>
      <c r="E11" s="310">
        <v>12</v>
      </c>
      <c r="F11" s="15">
        <v>104</v>
      </c>
      <c r="G11" s="310">
        <v>4.9</v>
      </c>
    </row>
    <row r="12" ht="12.75" customHeight="1" spans="2:7" x14ac:dyDescent="0.25">
      <c r="B12" s="15">
        <v>74</v>
      </c>
      <c r="C12" s="310">
        <v>23.8</v>
      </c>
      <c r="D12" s="15">
        <v>90</v>
      </c>
      <c r="E12" s="310">
        <v>11.4</v>
      </c>
      <c r="F12" s="15">
        <v>105</v>
      </c>
      <c r="G12" s="310">
        <v>4.5</v>
      </c>
    </row>
    <row r="13" ht="12.75" customHeight="1" spans="2:7" x14ac:dyDescent="0.25">
      <c r="B13" s="15">
        <v>75</v>
      </c>
      <c r="C13" s="310">
        <v>22.9</v>
      </c>
      <c r="D13" s="15">
        <v>91</v>
      </c>
      <c r="E13" s="310">
        <v>10.8</v>
      </c>
      <c r="F13" s="15">
        <v>106</v>
      </c>
      <c r="G13" s="310">
        <v>4.2</v>
      </c>
    </row>
    <row r="14" ht="12.75" customHeight="1" spans="2:7" x14ac:dyDescent="0.25">
      <c r="B14" s="15">
        <v>76</v>
      </c>
      <c r="C14" s="310">
        <v>22</v>
      </c>
      <c r="D14" s="15">
        <v>92</v>
      </c>
      <c r="E14" s="310">
        <v>10.2</v>
      </c>
      <c r="F14" s="15">
        <v>107</v>
      </c>
      <c r="G14" s="310">
        <v>3.9</v>
      </c>
    </row>
    <row r="15" ht="12.75" customHeight="1" spans="2:7" x14ac:dyDescent="0.25">
      <c r="B15" s="15">
        <v>77</v>
      </c>
      <c r="C15" s="310">
        <v>21.2</v>
      </c>
      <c r="D15" s="15">
        <v>93</v>
      </c>
      <c r="E15" s="310">
        <v>9.6</v>
      </c>
      <c r="F15" s="15">
        <v>108</v>
      </c>
      <c r="G15" s="310">
        <v>3.7</v>
      </c>
    </row>
    <row r="16" ht="12.75" customHeight="1" spans="2:7" x14ac:dyDescent="0.25">
      <c r="B16" s="15">
        <v>78</v>
      </c>
      <c r="C16" s="310">
        <v>20.3</v>
      </c>
      <c r="D16" s="15">
        <v>94</v>
      </c>
      <c r="E16" s="310">
        <v>9.1</v>
      </c>
      <c r="F16" s="15">
        <v>109</v>
      </c>
      <c r="G16" s="310">
        <v>3.4</v>
      </c>
    </row>
    <row r="17" ht="12.75" customHeight="1" spans="2:7" x14ac:dyDescent="0.25">
      <c r="B17" s="15">
        <v>79</v>
      </c>
      <c r="C17" s="310">
        <v>19.5</v>
      </c>
      <c r="D17" s="15">
        <v>95</v>
      </c>
      <c r="E17" s="310">
        <v>8.6</v>
      </c>
      <c r="F17" s="15">
        <v>110</v>
      </c>
      <c r="G17" s="310">
        <v>3.1</v>
      </c>
    </row>
    <row r="18" ht="12.75" customHeight="1" spans="2:7" x14ac:dyDescent="0.25">
      <c r="B18" s="15">
        <v>80</v>
      </c>
      <c r="C18" s="310">
        <v>18.7</v>
      </c>
      <c r="D18" s="15">
        <v>96</v>
      </c>
      <c r="E18" s="310">
        <v>8.1</v>
      </c>
      <c r="F18" s="15">
        <v>111</v>
      </c>
      <c r="G18" s="310">
        <v>2.9</v>
      </c>
    </row>
    <row r="19" ht="12.75" customHeight="1" spans="2:7" x14ac:dyDescent="0.25">
      <c r="B19" s="15">
        <v>81</v>
      </c>
      <c r="C19" s="310">
        <v>17.9</v>
      </c>
      <c r="D19" s="15">
        <v>97</v>
      </c>
      <c r="E19" s="310">
        <v>7.6</v>
      </c>
      <c r="F19" s="15">
        <v>112</v>
      </c>
      <c r="G19" s="310">
        <v>2.6</v>
      </c>
    </row>
    <row r="20" ht="12.75" customHeight="1" spans="2:7" x14ac:dyDescent="0.25">
      <c r="B20" s="15">
        <v>82</v>
      </c>
      <c r="C20" s="310">
        <v>17.1</v>
      </c>
      <c r="D20" s="15">
        <v>98</v>
      </c>
      <c r="E20" s="310">
        <v>7.1</v>
      </c>
      <c r="F20" s="15">
        <v>113</v>
      </c>
      <c r="G20" s="310">
        <v>2.4</v>
      </c>
    </row>
    <row r="21" ht="12.75" customHeight="1" spans="2:7" x14ac:dyDescent="0.25">
      <c r="B21" s="15">
        <v>83</v>
      </c>
      <c r="C21" s="310">
        <v>16.3</v>
      </c>
      <c r="D21" s="15">
        <v>99</v>
      </c>
      <c r="E21" s="310">
        <v>6.7</v>
      </c>
      <c r="F21" s="15">
        <v>114</v>
      </c>
      <c r="G21" s="310">
        <v>2.1</v>
      </c>
    </row>
    <row r="22" ht="12.75" customHeight="1" spans="2:7" x14ac:dyDescent="0.25">
      <c r="B22" s="15">
        <v>84</v>
      </c>
      <c r="C22" s="310">
        <v>15.5</v>
      </c>
      <c r="D22" s="15">
        <v>100</v>
      </c>
      <c r="E22" s="310">
        <v>6.3</v>
      </c>
      <c r="F22" s="305" t="s">
        <v>692</v>
      </c>
      <c r="G22" s="310">
        <v>1.9</v>
      </c>
    </row>
    <row r="23" ht="12.75" customHeight="1" spans="2:7" x14ac:dyDescent="0.25">
      <c r="B23" s="15">
        <v>85</v>
      </c>
      <c r="C23" s="310">
        <v>14.8</v>
      </c>
      <c r="D23" s="15" t="s">
        <v>693</v>
      </c>
      <c r="E23" s="15"/>
      <c r="F23" s="15"/>
      <c r="G23" s="15"/>
    </row>
    <row r="24" ht="12.75" customHeight="1" spans="2:7" x14ac:dyDescent="0.25">
      <c r="B24" s="15" t="s">
        <v>694</v>
      </c>
      <c r="C24" s="15"/>
      <c r="D24" s="15"/>
      <c r="E24" s="15"/>
      <c r="F24" s="15"/>
      <c r="G24" s="15"/>
    </row>
    <row r="25" ht="12.75" customHeight="1" spans="2:7" x14ac:dyDescent="0.25">
      <c r="B25" s="15"/>
      <c r="C25" s="15"/>
      <c r="D25" s="15"/>
      <c r="E25" s="15"/>
      <c r="F25" s="15"/>
      <c r="G25" s="15"/>
    </row>
    <row r="26" ht="12.75" customHeight="1" spans="10:12" x14ac:dyDescent="0.25">
      <c r="J26" s="412"/>
      <c r="L26" s="413"/>
    </row>
    <row r="27" ht="13.5" customHeight="1" spans="1:12" x14ac:dyDescent="0.25">
      <c r="A27" s="22" t="s">
        <v>695</v>
      </c>
      <c r="L27" s="413"/>
    </row>
    <row r="28" ht="12.75" customHeight="1" spans="1:12" x14ac:dyDescent="0.25">
      <c r="A28" s="414" t="s">
        <v>696</v>
      </c>
      <c r="B28" s="414"/>
      <c r="C28" s="414"/>
      <c r="D28" s="414"/>
      <c r="E28" s="414"/>
      <c r="F28" s="414"/>
      <c r="G28" s="414"/>
      <c r="H28" s="414"/>
      <c r="I28" s="414"/>
      <c r="J28" s="414"/>
      <c r="K28" s="414"/>
      <c r="L28" s="413"/>
    </row>
    <row r="29" ht="12.75" customHeight="1" spans="12:12" x14ac:dyDescent="0.25">
      <c r="L29" s="413"/>
    </row>
    <row r="30" ht="13.5" customHeight="1" spans="1:12" x14ac:dyDescent="0.25">
      <c r="A30" s="220" t="s">
        <v>697</v>
      </c>
      <c r="B30" s="220">
        <v>20</v>
      </c>
      <c r="C30" s="220">
        <v>21</v>
      </c>
      <c r="D30" s="220">
        <v>22</v>
      </c>
      <c r="E30" s="220">
        <v>23</v>
      </c>
      <c r="F30" s="220">
        <v>24</v>
      </c>
      <c r="G30" s="220">
        <v>25</v>
      </c>
      <c r="H30" s="220">
        <v>26</v>
      </c>
      <c r="I30" s="220">
        <v>27</v>
      </c>
      <c r="J30" s="220">
        <v>28</v>
      </c>
      <c r="K30" s="220">
        <v>29</v>
      </c>
      <c r="L30" s="413"/>
    </row>
    <row r="31" ht="12.75" customHeight="1" spans="1:12" x14ac:dyDescent="0.25">
      <c r="A31" s="220">
        <v>20</v>
      </c>
      <c r="B31" s="415">
        <v>70.1</v>
      </c>
      <c r="C31" s="415">
        <v>69.6</v>
      </c>
      <c r="D31" s="415">
        <v>69.1</v>
      </c>
      <c r="E31" s="415">
        <v>68.7</v>
      </c>
      <c r="F31" s="415">
        <v>68.3</v>
      </c>
      <c r="G31" s="415">
        <v>67.9</v>
      </c>
      <c r="H31" s="415">
        <v>67.5</v>
      </c>
      <c r="I31" s="415">
        <v>67.2</v>
      </c>
      <c r="J31" s="415">
        <v>66.9</v>
      </c>
      <c r="K31" s="415">
        <v>66.6</v>
      </c>
      <c r="L31" s="413"/>
    </row>
    <row r="32" ht="12.75" customHeight="1" spans="1:12" x14ac:dyDescent="0.25">
      <c r="A32" s="220">
        <v>21</v>
      </c>
      <c r="B32" s="415">
        <v>69.6</v>
      </c>
      <c r="C32" s="415">
        <v>69.1</v>
      </c>
      <c r="D32" s="415">
        <v>68.6</v>
      </c>
      <c r="E32" s="415">
        <v>68.2</v>
      </c>
      <c r="F32" s="415">
        <v>67.7</v>
      </c>
      <c r="G32" s="415">
        <v>67.3</v>
      </c>
      <c r="H32" s="415">
        <v>66.9</v>
      </c>
      <c r="I32" s="415">
        <v>66.6</v>
      </c>
      <c r="J32" s="415">
        <v>66.2</v>
      </c>
      <c r="K32" s="415">
        <v>65.9</v>
      </c>
      <c r="L32" s="413"/>
    </row>
    <row r="33" ht="12.75" customHeight="1" spans="1:12" x14ac:dyDescent="0.25">
      <c r="A33" s="220">
        <v>22</v>
      </c>
      <c r="B33" s="415">
        <v>69.1</v>
      </c>
      <c r="C33" s="415">
        <v>68.6</v>
      </c>
      <c r="D33" s="415">
        <v>68.1</v>
      </c>
      <c r="E33" s="415">
        <v>67.6</v>
      </c>
      <c r="F33" s="415">
        <v>67.2</v>
      </c>
      <c r="G33" s="415">
        <v>66.7</v>
      </c>
      <c r="H33" s="415">
        <v>66.3</v>
      </c>
      <c r="I33" s="415">
        <v>65.9</v>
      </c>
      <c r="J33" s="415">
        <v>65.6</v>
      </c>
      <c r="K33" s="415">
        <v>65.2</v>
      </c>
      <c r="L33" s="413"/>
    </row>
    <row r="34" ht="12.75" customHeight="1" spans="1:12" x14ac:dyDescent="0.25">
      <c r="A34" s="220">
        <v>23</v>
      </c>
      <c r="B34" s="415">
        <v>68.7</v>
      </c>
      <c r="C34" s="415">
        <v>68.2</v>
      </c>
      <c r="D34" s="415">
        <v>67.6</v>
      </c>
      <c r="E34" s="415">
        <v>67.1</v>
      </c>
      <c r="F34" s="415">
        <v>66.6</v>
      </c>
      <c r="G34" s="415">
        <v>66.2</v>
      </c>
      <c r="H34" s="415">
        <v>65.7</v>
      </c>
      <c r="I34" s="415">
        <v>65.3</v>
      </c>
      <c r="J34" s="415">
        <v>64.9</v>
      </c>
      <c r="K34" s="415">
        <v>64.6</v>
      </c>
      <c r="L34" s="413"/>
    </row>
    <row r="35" ht="12.75" customHeight="1" spans="1:12" x14ac:dyDescent="0.25">
      <c r="A35" s="220">
        <v>24</v>
      </c>
      <c r="B35" s="415">
        <v>68.3</v>
      </c>
      <c r="C35" s="415">
        <v>67.7</v>
      </c>
      <c r="D35" s="415">
        <v>67.2</v>
      </c>
      <c r="E35" s="415">
        <v>66.6</v>
      </c>
      <c r="F35" s="415">
        <v>66.1</v>
      </c>
      <c r="G35" s="415">
        <v>65.6</v>
      </c>
      <c r="H35" s="415">
        <v>65.2</v>
      </c>
      <c r="I35" s="415">
        <v>64.7</v>
      </c>
      <c r="J35" s="415">
        <v>64.3</v>
      </c>
      <c r="K35" s="415">
        <v>63.9</v>
      </c>
      <c r="L35" s="413"/>
    </row>
    <row r="36" ht="12.75" customHeight="1" spans="1:12" x14ac:dyDescent="0.25">
      <c r="A36" s="220">
        <v>25</v>
      </c>
      <c r="B36" s="415">
        <v>67.9</v>
      </c>
      <c r="C36" s="415">
        <v>67.3</v>
      </c>
      <c r="D36" s="415">
        <v>66.7</v>
      </c>
      <c r="E36" s="415">
        <v>66.2</v>
      </c>
      <c r="F36" s="415">
        <v>65.6</v>
      </c>
      <c r="G36" s="415">
        <v>65.1</v>
      </c>
      <c r="H36" s="415">
        <v>64.6</v>
      </c>
      <c r="I36" s="415">
        <v>64.2</v>
      </c>
      <c r="J36" s="415">
        <v>63.7</v>
      </c>
      <c r="K36" s="415">
        <v>63.3</v>
      </c>
      <c r="L36" s="413"/>
    </row>
    <row r="37" ht="12.75" customHeight="1" spans="1:12" x14ac:dyDescent="0.25">
      <c r="A37" s="220">
        <v>26</v>
      </c>
      <c r="B37" s="415">
        <v>67.5</v>
      </c>
      <c r="C37" s="415">
        <v>66.9</v>
      </c>
      <c r="D37" s="415">
        <v>66.3</v>
      </c>
      <c r="E37" s="415">
        <v>65.7</v>
      </c>
      <c r="F37" s="415">
        <v>65.2</v>
      </c>
      <c r="G37" s="415">
        <v>64.6</v>
      </c>
      <c r="H37" s="415">
        <v>64.1</v>
      </c>
      <c r="I37" s="415">
        <v>63.6</v>
      </c>
      <c r="J37" s="415">
        <v>63.2</v>
      </c>
      <c r="K37" s="415">
        <v>62.8</v>
      </c>
      <c r="L37" s="413"/>
    </row>
    <row r="38" ht="12.75" customHeight="1" spans="1:12" x14ac:dyDescent="0.25">
      <c r="A38" s="220">
        <v>27</v>
      </c>
      <c r="B38" s="415">
        <v>67.2</v>
      </c>
      <c r="C38" s="415">
        <v>66.6</v>
      </c>
      <c r="D38" s="415">
        <v>65.9</v>
      </c>
      <c r="E38" s="415">
        <v>65.3</v>
      </c>
      <c r="F38" s="415">
        <v>64.7</v>
      </c>
      <c r="G38" s="415">
        <v>64.2</v>
      </c>
      <c r="H38" s="415">
        <v>63.6</v>
      </c>
      <c r="I38" s="415">
        <v>63.1</v>
      </c>
      <c r="J38" s="415">
        <v>62.7</v>
      </c>
      <c r="K38" s="415">
        <v>62.2</v>
      </c>
      <c r="L38" s="413"/>
    </row>
    <row r="39" ht="12.75" customHeight="1" spans="1:12" x14ac:dyDescent="0.25">
      <c r="A39" s="220">
        <v>28</v>
      </c>
      <c r="B39" s="415">
        <v>66.9</v>
      </c>
      <c r="C39" s="415">
        <v>66.2</v>
      </c>
      <c r="D39" s="415">
        <v>65.6</v>
      </c>
      <c r="E39" s="415">
        <v>64.9</v>
      </c>
      <c r="F39" s="415">
        <v>64.3</v>
      </c>
      <c r="G39" s="415">
        <v>63.7</v>
      </c>
      <c r="H39" s="415">
        <v>63.2</v>
      </c>
      <c r="I39" s="415">
        <v>62.7</v>
      </c>
      <c r="J39" s="415">
        <v>62.1</v>
      </c>
      <c r="K39" s="415">
        <v>61.7</v>
      </c>
      <c r="L39" s="413"/>
    </row>
    <row r="40" ht="12.75" customHeight="1" spans="1:12" x14ac:dyDescent="0.25">
      <c r="A40" s="220">
        <v>29</v>
      </c>
      <c r="B40" s="415">
        <v>66.6</v>
      </c>
      <c r="C40" s="415">
        <v>65.9</v>
      </c>
      <c r="D40" s="415">
        <v>65.2</v>
      </c>
      <c r="E40" s="415">
        <v>64.6</v>
      </c>
      <c r="F40" s="415">
        <v>63.9</v>
      </c>
      <c r="G40" s="415">
        <v>63.3</v>
      </c>
      <c r="H40" s="415">
        <v>62.8</v>
      </c>
      <c r="I40" s="415">
        <v>62.2</v>
      </c>
      <c r="J40" s="415">
        <v>61.7</v>
      </c>
      <c r="K40" s="415">
        <v>61.2</v>
      </c>
      <c r="L40" s="413"/>
    </row>
    <row r="41" ht="12.75" customHeight="1" spans="1:12" x14ac:dyDescent="0.25">
      <c r="A41" s="220">
        <v>30</v>
      </c>
      <c r="B41" s="415">
        <v>66.3</v>
      </c>
      <c r="C41" s="415">
        <v>65.6</v>
      </c>
      <c r="D41" s="415">
        <v>64.9</v>
      </c>
      <c r="E41" s="415">
        <v>64.2</v>
      </c>
      <c r="F41" s="415">
        <v>63.6</v>
      </c>
      <c r="G41" s="415">
        <v>62.9</v>
      </c>
      <c r="H41" s="415">
        <v>62.3</v>
      </c>
      <c r="I41" s="415">
        <v>61.8</v>
      </c>
      <c r="J41" s="415">
        <v>61.2</v>
      </c>
      <c r="K41" s="415">
        <v>60.7</v>
      </c>
      <c r="L41" s="413"/>
    </row>
    <row r="42" ht="12.75" customHeight="1" spans="1:12" x14ac:dyDescent="0.25">
      <c r="A42" s="220">
        <v>31</v>
      </c>
      <c r="B42" s="415">
        <v>66.1</v>
      </c>
      <c r="C42" s="415">
        <v>65.3</v>
      </c>
      <c r="D42" s="415">
        <v>64.6</v>
      </c>
      <c r="E42" s="415">
        <v>63.9</v>
      </c>
      <c r="F42" s="415">
        <v>63.2</v>
      </c>
      <c r="G42" s="415">
        <v>62.6</v>
      </c>
      <c r="H42" s="415">
        <v>62</v>
      </c>
      <c r="I42" s="415">
        <v>61.4</v>
      </c>
      <c r="J42" s="415">
        <v>60.8</v>
      </c>
      <c r="K42" s="415">
        <v>60.2</v>
      </c>
      <c r="L42" s="413"/>
    </row>
    <row r="43" ht="12.75" customHeight="1" spans="1:12" x14ac:dyDescent="0.25">
      <c r="A43" s="220">
        <v>32</v>
      </c>
      <c r="B43" s="415">
        <v>65.8</v>
      </c>
      <c r="C43" s="415">
        <v>65.1</v>
      </c>
      <c r="D43" s="415">
        <v>64.3</v>
      </c>
      <c r="E43" s="415">
        <v>63.6</v>
      </c>
      <c r="F43" s="415">
        <v>62.9</v>
      </c>
      <c r="G43" s="415">
        <v>62.2</v>
      </c>
      <c r="H43" s="415">
        <v>61.6</v>
      </c>
      <c r="I43" s="415">
        <v>61</v>
      </c>
      <c r="J43" s="415">
        <v>60.4</v>
      </c>
      <c r="K43" s="415">
        <v>59.8</v>
      </c>
      <c r="L43" s="413"/>
    </row>
    <row r="44" ht="12.75" customHeight="1" spans="1:12" x14ac:dyDescent="0.25">
      <c r="A44" s="220">
        <v>33</v>
      </c>
      <c r="B44" s="415">
        <v>65.6</v>
      </c>
      <c r="C44" s="415">
        <v>64.8</v>
      </c>
      <c r="D44" s="415">
        <v>64.1</v>
      </c>
      <c r="E44" s="415">
        <v>63.3</v>
      </c>
      <c r="F44" s="415">
        <v>62.6</v>
      </c>
      <c r="G44" s="415">
        <v>61.9</v>
      </c>
      <c r="H44" s="415">
        <v>61.3</v>
      </c>
      <c r="I44" s="415">
        <v>60.6</v>
      </c>
      <c r="J44" s="415">
        <v>60</v>
      </c>
      <c r="K44" s="415">
        <v>59.4</v>
      </c>
      <c r="L44" s="413"/>
    </row>
    <row r="45" ht="12.75" customHeight="1" spans="1:12" x14ac:dyDescent="0.25">
      <c r="A45" s="220">
        <v>34</v>
      </c>
      <c r="B45" s="415">
        <v>65.4</v>
      </c>
      <c r="C45" s="415">
        <v>64.6</v>
      </c>
      <c r="D45" s="415">
        <v>63.8</v>
      </c>
      <c r="E45" s="415">
        <v>63.1</v>
      </c>
      <c r="F45" s="415">
        <v>62.3</v>
      </c>
      <c r="G45" s="415">
        <v>61.6</v>
      </c>
      <c r="H45" s="415">
        <v>60.9</v>
      </c>
      <c r="I45" s="415">
        <v>60.3</v>
      </c>
      <c r="J45" s="415">
        <v>59.6</v>
      </c>
      <c r="K45" s="415">
        <v>59</v>
      </c>
      <c r="L45" s="413"/>
    </row>
    <row r="46" ht="12.75" customHeight="1" spans="1:12" x14ac:dyDescent="0.25">
      <c r="A46" s="220">
        <v>35</v>
      </c>
      <c r="B46" s="415">
        <v>65.2</v>
      </c>
      <c r="C46" s="415">
        <v>64.4</v>
      </c>
      <c r="D46" s="415">
        <v>63.6</v>
      </c>
      <c r="E46" s="415">
        <v>62.8</v>
      </c>
      <c r="F46" s="415">
        <v>62.1</v>
      </c>
      <c r="G46" s="415">
        <v>61.4</v>
      </c>
      <c r="H46" s="415">
        <v>60.6</v>
      </c>
      <c r="I46" s="415">
        <v>59.9</v>
      </c>
      <c r="J46" s="415">
        <v>59.3</v>
      </c>
      <c r="K46" s="415">
        <v>58.6</v>
      </c>
      <c r="L46" s="413"/>
    </row>
    <row r="47" ht="12.75" customHeight="1" spans="1:12" x14ac:dyDescent="0.25">
      <c r="A47" s="220">
        <v>36</v>
      </c>
      <c r="B47" s="415">
        <v>65</v>
      </c>
      <c r="C47" s="415">
        <v>64.2</v>
      </c>
      <c r="D47" s="415">
        <v>63.4</v>
      </c>
      <c r="E47" s="415">
        <v>62.6</v>
      </c>
      <c r="F47" s="415">
        <v>61.9</v>
      </c>
      <c r="G47" s="415">
        <v>61.1</v>
      </c>
      <c r="H47" s="415">
        <v>60.4</v>
      </c>
      <c r="I47" s="415">
        <v>59.6</v>
      </c>
      <c r="J47" s="415">
        <v>59</v>
      </c>
      <c r="K47" s="415">
        <v>58.3</v>
      </c>
      <c r="L47" s="413"/>
    </row>
    <row r="48" ht="12.75" customHeight="1" spans="1:12" x14ac:dyDescent="0.25">
      <c r="A48" s="220">
        <v>37</v>
      </c>
      <c r="B48" s="415">
        <v>64.9</v>
      </c>
      <c r="C48" s="415">
        <v>64</v>
      </c>
      <c r="D48" s="415">
        <v>63.2</v>
      </c>
      <c r="E48" s="415">
        <v>62.4</v>
      </c>
      <c r="F48" s="415">
        <v>61.6</v>
      </c>
      <c r="G48" s="415">
        <v>60.9</v>
      </c>
      <c r="H48" s="415">
        <v>60.1</v>
      </c>
      <c r="I48" s="415">
        <v>59.4</v>
      </c>
      <c r="J48" s="415">
        <v>58.7</v>
      </c>
      <c r="K48" s="415">
        <v>58</v>
      </c>
      <c r="L48" s="413"/>
    </row>
    <row r="49" ht="12.75" customHeight="1" spans="1:11" x14ac:dyDescent="0.25">
      <c r="A49" s="220">
        <v>38</v>
      </c>
      <c r="B49" s="415">
        <v>64.7</v>
      </c>
      <c r="C49" s="415">
        <v>63.9</v>
      </c>
      <c r="D49" s="415">
        <v>63</v>
      </c>
      <c r="E49" s="415">
        <v>62.2</v>
      </c>
      <c r="F49" s="415">
        <v>61.4</v>
      </c>
      <c r="G49" s="415">
        <v>60.6</v>
      </c>
      <c r="H49" s="415">
        <v>59.9</v>
      </c>
      <c r="I49" s="415">
        <v>59.1</v>
      </c>
      <c r="J49" s="415">
        <v>58.4</v>
      </c>
      <c r="K49" s="415">
        <v>57.7</v>
      </c>
    </row>
    <row r="50" ht="12.75" customHeight="1" spans="1:11" x14ac:dyDescent="0.25">
      <c r="A50" s="220">
        <v>39</v>
      </c>
      <c r="B50" s="415">
        <v>64.6</v>
      </c>
      <c r="C50" s="415">
        <v>63.7</v>
      </c>
      <c r="D50" s="415">
        <v>62.9</v>
      </c>
      <c r="E50" s="415">
        <v>62.1</v>
      </c>
      <c r="F50" s="415">
        <v>61.2</v>
      </c>
      <c r="G50" s="415">
        <v>60.4</v>
      </c>
      <c r="H50" s="415">
        <v>59.6</v>
      </c>
      <c r="I50" s="415">
        <v>58.9</v>
      </c>
      <c r="J50" s="415">
        <v>58.1</v>
      </c>
      <c r="K50" s="415">
        <v>57.4</v>
      </c>
    </row>
    <row r="51" ht="12.75" customHeight="1" spans="1:11" x14ac:dyDescent="0.25">
      <c r="A51" s="220">
        <v>40</v>
      </c>
      <c r="B51" s="415">
        <v>64.4</v>
      </c>
      <c r="C51" s="415">
        <v>63.6</v>
      </c>
      <c r="D51" s="415">
        <v>62.7</v>
      </c>
      <c r="E51" s="415">
        <v>61.9</v>
      </c>
      <c r="F51" s="415">
        <v>61.1</v>
      </c>
      <c r="G51" s="415">
        <v>60.2</v>
      </c>
      <c r="H51" s="415">
        <v>59.4</v>
      </c>
      <c r="I51" s="415">
        <v>58.7</v>
      </c>
      <c r="J51" s="415">
        <v>57.9</v>
      </c>
      <c r="K51" s="415">
        <v>57.1</v>
      </c>
    </row>
    <row r="52" ht="12.75" customHeight="1" spans="1:11" x14ac:dyDescent="0.25">
      <c r="A52" s="220">
        <v>41</v>
      </c>
      <c r="B52" s="415">
        <v>64.3</v>
      </c>
      <c r="C52" s="415">
        <v>63.5</v>
      </c>
      <c r="D52" s="415">
        <v>62.6</v>
      </c>
      <c r="E52" s="415">
        <v>61.7</v>
      </c>
      <c r="F52" s="415">
        <v>60.9</v>
      </c>
      <c r="G52" s="415">
        <v>60.1</v>
      </c>
      <c r="H52" s="415">
        <v>59.3</v>
      </c>
      <c r="I52" s="415">
        <v>58.5</v>
      </c>
      <c r="J52" s="415">
        <v>57.7</v>
      </c>
      <c r="K52" s="415">
        <v>56.9</v>
      </c>
    </row>
    <row r="53" ht="12.75" customHeight="1" spans="1:11" x14ac:dyDescent="0.25">
      <c r="A53" s="220">
        <v>42</v>
      </c>
      <c r="B53" s="415">
        <v>64.2</v>
      </c>
      <c r="C53" s="415">
        <v>63.3</v>
      </c>
      <c r="D53" s="415">
        <v>62.5</v>
      </c>
      <c r="E53" s="415">
        <v>61.6</v>
      </c>
      <c r="F53" s="415">
        <v>60.8</v>
      </c>
      <c r="G53" s="415">
        <v>59.9</v>
      </c>
      <c r="H53" s="415">
        <v>59.1</v>
      </c>
      <c r="I53" s="415">
        <v>58.3</v>
      </c>
      <c r="J53" s="415">
        <v>57.5</v>
      </c>
      <c r="K53" s="415">
        <v>56.7</v>
      </c>
    </row>
    <row r="54" ht="12.75" customHeight="1" spans="1:11" x14ac:dyDescent="0.25">
      <c r="A54" s="220">
        <v>43</v>
      </c>
      <c r="B54" s="415">
        <v>64.1</v>
      </c>
      <c r="C54" s="415">
        <v>63.2</v>
      </c>
      <c r="D54" s="415">
        <v>62.4</v>
      </c>
      <c r="E54" s="415">
        <v>61.5</v>
      </c>
      <c r="F54" s="415">
        <v>60.6</v>
      </c>
      <c r="G54" s="415">
        <v>59.8</v>
      </c>
      <c r="H54" s="415">
        <v>58.9</v>
      </c>
      <c r="I54" s="415">
        <v>58.1</v>
      </c>
      <c r="J54" s="415">
        <v>57.3</v>
      </c>
      <c r="K54" s="415">
        <v>56.5</v>
      </c>
    </row>
    <row r="55" ht="12.75" customHeight="1" spans="1:11" x14ac:dyDescent="0.25">
      <c r="A55" s="220">
        <v>44</v>
      </c>
      <c r="B55" s="415">
        <v>64</v>
      </c>
      <c r="C55" s="415">
        <v>63.1</v>
      </c>
      <c r="D55" s="415">
        <v>62.2</v>
      </c>
      <c r="E55" s="415">
        <v>61.4</v>
      </c>
      <c r="F55" s="415">
        <v>60.5</v>
      </c>
      <c r="G55" s="415">
        <v>59.6</v>
      </c>
      <c r="H55" s="415">
        <v>58.8</v>
      </c>
      <c r="I55" s="415">
        <v>57.9</v>
      </c>
      <c r="J55" s="415">
        <v>57.1</v>
      </c>
      <c r="K55" s="415">
        <v>56.3</v>
      </c>
    </row>
    <row r="56" ht="12.75" customHeight="1" spans="1:11" x14ac:dyDescent="0.25">
      <c r="A56" s="220">
        <v>45</v>
      </c>
      <c r="B56" s="415">
        <v>64</v>
      </c>
      <c r="C56" s="415">
        <v>63</v>
      </c>
      <c r="D56" s="415">
        <v>62.2</v>
      </c>
      <c r="E56" s="415">
        <v>61.3</v>
      </c>
      <c r="F56" s="415">
        <v>60.4</v>
      </c>
      <c r="G56" s="415">
        <v>59.5</v>
      </c>
      <c r="H56" s="415">
        <v>58.6</v>
      </c>
      <c r="I56" s="415">
        <v>57.8</v>
      </c>
      <c r="J56" s="415">
        <v>56.9</v>
      </c>
      <c r="K56" s="415">
        <v>56.1</v>
      </c>
    </row>
    <row r="57" ht="12.75" customHeight="1" spans="1:11" x14ac:dyDescent="0.25">
      <c r="A57" s="220">
        <v>46</v>
      </c>
      <c r="B57" s="415">
        <v>63.9</v>
      </c>
      <c r="C57" s="415">
        <v>63</v>
      </c>
      <c r="D57" s="415">
        <v>62.1</v>
      </c>
      <c r="E57" s="415">
        <v>61.2</v>
      </c>
      <c r="F57" s="415">
        <v>60.3</v>
      </c>
      <c r="G57" s="415">
        <v>59.4</v>
      </c>
      <c r="H57" s="415">
        <v>58.5</v>
      </c>
      <c r="I57" s="415">
        <v>57.7</v>
      </c>
      <c r="J57" s="415">
        <v>56.8</v>
      </c>
      <c r="K57" s="415">
        <v>56</v>
      </c>
    </row>
    <row r="58" ht="12.75" customHeight="1" spans="1:11" x14ac:dyDescent="0.25">
      <c r="A58" s="220">
        <v>47</v>
      </c>
      <c r="B58" s="415">
        <v>63.8</v>
      </c>
      <c r="C58" s="415">
        <v>62.9</v>
      </c>
      <c r="D58" s="415">
        <v>62</v>
      </c>
      <c r="E58" s="415">
        <v>61.1</v>
      </c>
      <c r="F58" s="415">
        <v>60.2</v>
      </c>
      <c r="G58" s="415">
        <v>59.3</v>
      </c>
      <c r="H58" s="415">
        <v>58.4</v>
      </c>
      <c r="I58" s="415">
        <v>57.5</v>
      </c>
      <c r="J58" s="415">
        <v>56.7</v>
      </c>
      <c r="K58" s="415">
        <v>55.8</v>
      </c>
    </row>
    <row r="59" ht="12.75" customHeight="1" spans="1:11" x14ac:dyDescent="0.25">
      <c r="A59" s="220">
        <v>48</v>
      </c>
      <c r="B59" s="415">
        <v>63.7</v>
      </c>
      <c r="C59" s="415">
        <v>62.8</v>
      </c>
      <c r="D59" s="415">
        <v>61.9</v>
      </c>
      <c r="E59" s="415">
        <v>61</v>
      </c>
      <c r="F59" s="415">
        <v>60.1</v>
      </c>
      <c r="G59" s="415">
        <v>59.2</v>
      </c>
      <c r="H59" s="415">
        <v>58.3</v>
      </c>
      <c r="I59" s="415">
        <v>57.4</v>
      </c>
      <c r="J59" s="415">
        <v>56.5</v>
      </c>
      <c r="K59" s="415">
        <v>55.7</v>
      </c>
    </row>
    <row r="60" ht="12.75" customHeight="1" spans="1:11" x14ac:dyDescent="0.25">
      <c r="A60" s="220">
        <v>49</v>
      </c>
      <c r="B60" s="415">
        <v>63.7</v>
      </c>
      <c r="C60" s="415">
        <v>62.8</v>
      </c>
      <c r="D60" s="415">
        <v>61.8</v>
      </c>
      <c r="E60" s="415">
        <v>60.9</v>
      </c>
      <c r="F60" s="415">
        <v>60</v>
      </c>
      <c r="G60" s="415">
        <v>59.1</v>
      </c>
      <c r="H60" s="415">
        <v>58.2</v>
      </c>
      <c r="I60" s="415">
        <v>57.3</v>
      </c>
      <c r="J60" s="415">
        <v>56.4</v>
      </c>
      <c r="K60" s="415">
        <v>55.6</v>
      </c>
    </row>
    <row r="61" ht="12.75" customHeight="1" spans="1:11" x14ac:dyDescent="0.25">
      <c r="A61" s="220">
        <v>50</v>
      </c>
      <c r="B61" s="415">
        <v>63.6</v>
      </c>
      <c r="C61" s="415">
        <v>62.7</v>
      </c>
      <c r="D61" s="415">
        <v>61.8</v>
      </c>
      <c r="E61" s="415">
        <v>60.8</v>
      </c>
      <c r="F61" s="415">
        <v>59.9</v>
      </c>
      <c r="G61" s="415">
        <v>59</v>
      </c>
      <c r="H61" s="415">
        <v>58.1</v>
      </c>
      <c r="I61" s="415">
        <v>57.2</v>
      </c>
      <c r="J61" s="415">
        <v>56.3</v>
      </c>
      <c r="K61" s="415">
        <v>55.4</v>
      </c>
    </row>
    <row r="62" ht="12.75" customHeight="1" spans="1:11" x14ac:dyDescent="0.25">
      <c r="A62" s="220">
        <v>51</v>
      </c>
      <c r="B62" s="415">
        <v>63.6</v>
      </c>
      <c r="C62" s="415">
        <v>62.6</v>
      </c>
      <c r="D62" s="415">
        <v>61.7</v>
      </c>
      <c r="E62" s="415">
        <v>60.8</v>
      </c>
      <c r="F62" s="415">
        <v>59.9</v>
      </c>
      <c r="G62" s="415">
        <v>58.9</v>
      </c>
      <c r="H62" s="415">
        <v>58</v>
      </c>
      <c r="I62" s="415">
        <v>57.1</v>
      </c>
      <c r="J62" s="415">
        <v>56.2</v>
      </c>
      <c r="K62" s="415">
        <v>55.3</v>
      </c>
    </row>
    <row r="63" ht="12.75" customHeight="1" spans="1:11" x14ac:dyDescent="0.25">
      <c r="A63" s="220">
        <v>52</v>
      </c>
      <c r="B63" s="415">
        <v>63.5</v>
      </c>
      <c r="C63" s="415">
        <v>62.6</v>
      </c>
      <c r="D63" s="415">
        <v>61.7</v>
      </c>
      <c r="E63" s="415">
        <v>60.7</v>
      </c>
      <c r="F63" s="415">
        <v>59.8</v>
      </c>
      <c r="G63" s="415">
        <v>58.9</v>
      </c>
      <c r="H63" s="415">
        <v>58</v>
      </c>
      <c r="I63" s="415">
        <v>57.1</v>
      </c>
      <c r="J63" s="415">
        <v>56.1</v>
      </c>
      <c r="K63" s="415">
        <v>55.2</v>
      </c>
    </row>
    <row r="64" ht="12.75" customHeight="1" spans="1:11" x14ac:dyDescent="0.25">
      <c r="A64" s="220">
        <v>53</v>
      </c>
      <c r="B64" s="415">
        <v>63.5</v>
      </c>
      <c r="C64" s="415">
        <v>62.5</v>
      </c>
      <c r="D64" s="415">
        <v>61.6</v>
      </c>
      <c r="E64" s="415">
        <v>60.7</v>
      </c>
      <c r="F64" s="415">
        <v>59.7</v>
      </c>
      <c r="G64" s="415">
        <v>58.8</v>
      </c>
      <c r="H64" s="415">
        <v>57.9</v>
      </c>
      <c r="I64" s="415">
        <v>57</v>
      </c>
      <c r="J64" s="415">
        <v>56.1</v>
      </c>
      <c r="K64" s="415">
        <v>55.2</v>
      </c>
    </row>
    <row r="65" ht="12.75" customHeight="1" spans="1:11" x14ac:dyDescent="0.25">
      <c r="A65" s="220">
        <v>54</v>
      </c>
      <c r="B65" s="415">
        <v>63.5</v>
      </c>
      <c r="C65" s="415">
        <v>62.5</v>
      </c>
      <c r="D65" s="415">
        <v>61.6</v>
      </c>
      <c r="E65" s="415">
        <v>60.6</v>
      </c>
      <c r="F65" s="415">
        <v>59.7</v>
      </c>
      <c r="G65" s="415">
        <v>58.8</v>
      </c>
      <c r="H65" s="415">
        <v>57.8</v>
      </c>
      <c r="I65" s="415">
        <v>56.9</v>
      </c>
      <c r="J65" s="415">
        <v>56</v>
      </c>
      <c r="K65" s="415">
        <v>55.1</v>
      </c>
    </row>
    <row r="66" ht="12.75" customHeight="1" spans="1:11" x14ac:dyDescent="0.25">
      <c r="A66" s="220">
        <v>55</v>
      </c>
      <c r="B66" s="415">
        <v>63.4</v>
      </c>
      <c r="C66" s="415">
        <v>62.5</v>
      </c>
      <c r="D66" s="415">
        <v>61.5</v>
      </c>
      <c r="E66" s="415">
        <v>60.6</v>
      </c>
      <c r="F66" s="415">
        <v>59.6</v>
      </c>
      <c r="G66" s="415">
        <v>58.7</v>
      </c>
      <c r="H66" s="415">
        <v>57.8</v>
      </c>
      <c r="I66" s="415">
        <v>56.8</v>
      </c>
      <c r="J66" s="415">
        <v>55.9</v>
      </c>
      <c r="K66" s="415">
        <v>55</v>
      </c>
    </row>
    <row r="67" ht="12.75" customHeight="1" spans="1:11" x14ac:dyDescent="0.25">
      <c r="A67" s="220">
        <v>56</v>
      </c>
      <c r="B67" s="415">
        <v>63.4</v>
      </c>
      <c r="C67" s="415">
        <v>62.4</v>
      </c>
      <c r="D67" s="415">
        <v>61.5</v>
      </c>
      <c r="E67" s="415">
        <v>60.5</v>
      </c>
      <c r="F67" s="415">
        <v>59.6</v>
      </c>
      <c r="G67" s="415">
        <v>58.7</v>
      </c>
      <c r="H67" s="415">
        <v>57.7</v>
      </c>
      <c r="I67" s="415">
        <v>56.8</v>
      </c>
      <c r="J67" s="415">
        <v>55.9</v>
      </c>
      <c r="K67" s="415">
        <v>54.9</v>
      </c>
    </row>
    <row r="68" ht="12.75" customHeight="1" spans="1:11" x14ac:dyDescent="0.25">
      <c r="A68" s="220">
        <v>57</v>
      </c>
      <c r="B68" s="415">
        <v>63.4</v>
      </c>
      <c r="C68" s="415">
        <v>62.4</v>
      </c>
      <c r="D68" s="415">
        <v>61.5</v>
      </c>
      <c r="E68" s="415">
        <v>60.5</v>
      </c>
      <c r="F68" s="415">
        <v>59.6</v>
      </c>
      <c r="G68" s="415">
        <v>58.6</v>
      </c>
      <c r="H68" s="415">
        <v>57.7</v>
      </c>
      <c r="I68" s="415">
        <v>56.7</v>
      </c>
      <c r="J68" s="415">
        <v>55.8</v>
      </c>
      <c r="K68" s="415">
        <v>54.9</v>
      </c>
    </row>
    <row r="69" ht="12.75" customHeight="1" spans="1:11" x14ac:dyDescent="0.25">
      <c r="A69" s="220">
        <v>58</v>
      </c>
      <c r="B69" s="415">
        <v>63.3</v>
      </c>
      <c r="C69" s="415">
        <v>62.4</v>
      </c>
      <c r="D69" s="415">
        <v>61.4</v>
      </c>
      <c r="E69" s="415">
        <v>60.5</v>
      </c>
      <c r="F69" s="415">
        <v>59.5</v>
      </c>
      <c r="G69" s="415">
        <v>58.6</v>
      </c>
      <c r="H69" s="415">
        <v>57.6</v>
      </c>
      <c r="I69" s="415">
        <v>56.7</v>
      </c>
      <c r="J69" s="415">
        <v>55.8</v>
      </c>
      <c r="K69" s="415">
        <v>54.8</v>
      </c>
    </row>
    <row r="70" ht="12.75" customHeight="1" spans="1:11" x14ac:dyDescent="0.25">
      <c r="A70" s="220">
        <v>59</v>
      </c>
      <c r="B70" s="415">
        <v>63.3</v>
      </c>
      <c r="C70" s="415">
        <v>62.3</v>
      </c>
      <c r="D70" s="415">
        <v>61.4</v>
      </c>
      <c r="E70" s="415">
        <v>60.4</v>
      </c>
      <c r="F70" s="415">
        <v>59.5</v>
      </c>
      <c r="G70" s="415">
        <v>58.5</v>
      </c>
      <c r="H70" s="415">
        <v>57.6</v>
      </c>
      <c r="I70" s="415">
        <v>56.7</v>
      </c>
      <c r="J70" s="415">
        <v>55.7</v>
      </c>
      <c r="K70" s="415">
        <v>54.8</v>
      </c>
    </row>
    <row r="71" ht="12.75" customHeight="1" spans="1:11" x14ac:dyDescent="0.25">
      <c r="A71" s="416">
        <v>60</v>
      </c>
      <c r="B71" s="415">
        <v>63.3</v>
      </c>
      <c r="C71" s="415">
        <v>62.3</v>
      </c>
      <c r="D71" s="415">
        <v>61.4</v>
      </c>
      <c r="E71" s="415">
        <v>60.4</v>
      </c>
      <c r="F71" s="415">
        <v>59.5</v>
      </c>
      <c r="G71" s="415">
        <v>58.5</v>
      </c>
      <c r="H71" s="415">
        <v>57.6</v>
      </c>
      <c r="I71" s="415">
        <v>56.6</v>
      </c>
      <c r="J71" s="415">
        <v>55.7</v>
      </c>
      <c r="K71" s="415">
        <v>54.7</v>
      </c>
    </row>
    <row r="72" ht="12.75" customHeight="1" spans="1:11" x14ac:dyDescent="0.25">
      <c r="A72" s="220">
        <v>61</v>
      </c>
      <c r="B72" s="415">
        <v>63.3</v>
      </c>
      <c r="C72" s="415">
        <v>62.3</v>
      </c>
      <c r="D72" s="415">
        <v>61.3</v>
      </c>
      <c r="E72" s="415">
        <v>60.4</v>
      </c>
      <c r="F72" s="415">
        <v>59.4</v>
      </c>
      <c r="G72" s="415">
        <v>58.5</v>
      </c>
      <c r="H72" s="415">
        <v>57.5</v>
      </c>
      <c r="I72" s="415">
        <v>56.6</v>
      </c>
      <c r="J72" s="415">
        <v>55.6</v>
      </c>
      <c r="K72" s="415">
        <v>54.7</v>
      </c>
    </row>
    <row r="73" ht="12.75" customHeight="1" spans="1:11" x14ac:dyDescent="0.25">
      <c r="A73" s="220">
        <v>62</v>
      </c>
      <c r="B73" s="415">
        <v>63.2</v>
      </c>
      <c r="C73" s="415">
        <v>62.3</v>
      </c>
      <c r="D73" s="415">
        <v>61.3</v>
      </c>
      <c r="E73" s="415">
        <v>60.4</v>
      </c>
      <c r="F73" s="415">
        <v>59.4</v>
      </c>
      <c r="G73" s="415">
        <v>58.4</v>
      </c>
      <c r="H73" s="415">
        <v>57.5</v>
      </c>
      <c r="I73" s="415">
        <v>56.5</v>
      </c>
      <c r="J73" s="415">
        <v>55.6</v>
      </c>
      <c r="K73" s="415">
        <v>54.7</v>
      </c>
    </row>
    <row r="74" ht="12.75" customHeight="1" spans="1:11" x14ac:dyDescent="0.25">
      <c r="A74" s="220">
        <v>63</v>
      </c>
      <c r="B74" s="415">
        <v>63.2</v>
      </c>
      <c r="C74" s="415">
        <v>62.3</v>
      </c>
      <c r="D74" s="415">
        <v>61.3</v>
      </c>
      <c r="E74" s="415">
        <v>60.3</v>
      </c>
      <c r="F74" s="415">
        <v>59.4</v>
      </c>
      <c r="G74" s="415">
        <v>58.4</v>
      </c>
      <c r="H74" s="415">
        <v>57.5</v>
      </c>
      <c r="I74" s="415">
        <v>56.5</v>
      </c>
      <c r="J74" s="415">
        <v>55.6</v>
      </c>
      <c r="K74" s="415">
        <v>54.6</v>
      </c>
    </row>
    <row r="75" ht="12.75" customHeight="1" spans="1:11" x14ac:dyDescent="0.25">
      <c r="A75" s="220">
        <v>64</v>
      </c>
      <c r="B75" s="415">
        <v>63.2</v>
      </c>
      <c r="C75" s="415">
        <v>62.2</v>
      </c>
      <c r="D75" s="415">
        <v>61.3</v>
      </c>
      <c r="E75" s="415">
        <v>60.3</v>
      </c>
      <c r="F75" s="415">
        <v>59.4</v>
      </c>
      <c r="G75" s="415">
        <v>58.4</v>
      </c>
      <c r="H75" s="415">
        <v>57.4</v>
      </c>
      <c r="I75" s="415">
        <v>56.5</v>
      </c>
      <c r="J75" s="415">
        <v>55.5</v>
      </c>
      <c r="K75" s="415">
        <v>54.6</v>
      </c>
    </row>
    <row r="76" ht="12.75" customHeight="1" spans="1:11" x14ac:dyDescent="0.25">
      <c r="A76" s="220">
        <v>65</v>
      </c>
      <c r="B76" s="415">
        <v>63.2</v>
      </c>
      <c r="C76" s="415">
        <v>62.2</v>
      </c>
      <c r="D76" s="415">
        <v>61.3</v>
      </c>
      <c r="E76" s="415">
        <v>60.3</v>
      </c>
      <c r="F76" s="415">
        <v>59.3</v>
      </c>
      <c r="G76" s="415">
        <v>58.4</v>
      </c>
      <c r="H76" s="415">
        <v>57.4</v>
      </c>
      <c r="I76" s="415">
        <v>56.5</v>
      </c>
      <c r="J76" s="415">
        <v>55.5</v>
      </c>
      <c r="K76" s="415">
        <v>54.6</v>
      </c>
    </row>
    <row r="77" ht="12.75" customHeight="1" spans="1:11" x14ac:dyDescent="0.25">
      <c r="A77" s="220">
        <v>66</v>
      </c>
      <c r="B77" s="415">
        <v>63.2</v>
      </c>
      <c r="C77" s="415">
        <v>62.2</v>
      </c>
      <c r="D77" s="415">
        <v>61.2</v>
      </c>
      <c r="E77" s="415">
        <v>60.3</v>
      </c>
      <c r="F77" s="415">
        <v>59.3</v>
      </c>
      <c r="G77" s="415">
        <v>58.4</v>
      </c>
      <c r="H77" s="415">
        <v>57.4</v>
      </c>
      <c r="I77" s="415">
        <v>56.4</v>
      </c>
      <c r="J77" s="415">
        <v>55.5</v>
      </c>
      <c r="K77" s="415">
        <v>54.5</v>
      </c>
    </row>
    <row r="78" ht="12.75" customHeight="1" spans="1:11" x14ac:dyDescent="0.25">
      <c r="A78" s="220">
        <v>67</v>
      </c>
      <c r="B78" s="415">
        <v>63.2</v>
      </c>
      <c r="C78" s="415">
        <v>62.2</v>
      </c>
      <c r="D78" s="415">
        <v>61.2</v>
      </c>
      <c r="E78" s="415">
        <v>60.3</v>
      </c>
      <c r="F78" s="415">
        <v>59.3</v>
      </c>
      <c r="G78" s="415">
        <v>58.3</v>
      </c>
      <c r="H78" s="415">
        <v>57.4</v>
      </c>
      <c r="I78" s="415">
        <v>56.4</v>
      </c>
      <c r="J78" s="415">
        <v>55.5</v>
      </c>
      <c r="K78" s="415">
        <v>54.5</v>
      </c>
    </row>
    <row r="79" ht="12.75" customHeight="1" spans="1:11" x14ac:dyDescent="0.25">
      <c r="A79" s="220">
        <v>68</v>
      </c>
      <c r="B79" s="415">
        <v>63.1</v>
      </c>
      <c r="C79" s="415">
        <v>62.2</v>
      </c>
      <c r="D79" s="415">
        <v>61.2</v>
      </c>
      <c r="E79" s="415">
        <v>60.2</v>
      </c>
      <c r="F79" s="415">
        <v>59.3</v>
      </c>
      <c r="G79" s="415">
        <v>58.3</v>
      </c>
      <c r="H79" s="415">
        <v>57.4</v>
      </c>
      <c r="I79" s="415">
        <v>56.4</v>
      </c>
      <c r="J79" s="415">
        <v>55.4</v>
      </c>
      <c r="K79" s="415">
        <v>54.5</v>
      </c>
    </row>
    <row r="80" ht="12.75" customHeight="1" spans="1:11" x14ac:dyDescent="0.25">
      <c r="A80" s="220">
        <v>69</v>
      </c>
      <c r="B80" s="415">
        <v>63.1</v>
      </c>
      <c r="C80" s="415">
        <v>62.2</v>
      </c>
      <c r="D80" s="415">
        <v>61.2</v>
      </c>
      <c r="E80" s="415">
        <v>60.2</v>
      </c>
      <c r="F80" s="415">
        <v>59.3</v>
      </c>
      <c r="G80" s="415">
        <v>58.3</v>
      </c>
      <c r="H80" s="415">
        <v>57.3</v>
      </c>
      <c r="I80" s="415">
        <v>56.4</v>
      </c>
      <c r="J80" s="415">
        <v>55.4</v>
      </c>
      <c r="K80" s="415">
        <v>54.5</v>
      </c>
    </row>
    <row r="81" ht="12.75" customHeight="1" spans="1:11" x14ac:dyDescent="0.25">
      <c r="A81" s="220">
        <v>70</v>
      </c>
      <c r="B81" s="415">
        <v>63.1</v>
      </c>
      <c r="C81" s="415">
        <v>62.2</v>
      </c>
      <c r="D81" s="415">
        <v>61.2</v>
      </c>
      <c r="E81" s="415">
        <v>60.2</v>
      </c>
      <c r="F81" s="415">
        <v>59.3</v>
      </c>
      <c r="G81" s="415">
        <v>58.3</v>
      </c>
      <c r="H81" s="415">
        <v>57.3</v>
      </c>
      <c r="I81" s="415">
        <v>56.4</v>
      </c>
      <c r="J81" s="415">
        <v>55.4</v>
      </c>
      <c r="K81" s="415">
        <v>54.4</v>
      </c>
    </row>
    <row r="82" ht="12.75" customHeight="1" spans="1:11" x14ac:dyDescent="0.25">
      <c r="A82" s="220">
        <v>71</v>
      </c>
      <c r="B82" s="415">
        <v>63.1</v>
      </c>
      <c r="C82" s="415">
        <v>62.1</v>
      </c>
      <c r="D82" s="415">
        <v>61.2</v>
      </c>
      <c r="E82" s="415">
        <v>60.2</v>
      </c>
      <c r="F82" s="415">
        <v>59.2</v>
      </c>
      <c r="G82" s="415">
        <v>58.3</v>
      </c>
      <c r="H82" s="415">
        <v>57.3</v>
      </c>
      <c r="I82" s="415">
        <v>56.4</v>
      </c>
      <c r="J82" s="415">
        <v>55.4</v>
      </c>
      <c r="K82" s="415">
        <v>54.4</v>
      </c>
    </row>
    <row r="83" ht="12.75" customHeight="1" spans="1:11" x14ac:dyDescent="0.25">
      <c r="A83" s="220">
        <v>72</v>
      </c>
      <c r="B83" s="415">
        <v>63.1</v>
      </c>
      <c r="C83" s="415">
        <v>62.1</v>
      </c>
      <c r="D83" s="415">
        <v>61.2</v>
      </c>
      <c r="E83" s="415">
        <v>60.2</v>
      </c>
      <c r="F83" s="415">
        <v>59.2</v>
      </c>
      <c r="G83" s="415">
        <v>58.3</v>
      </c>
      <c r="H83" s="415">
        <v>57.3</v>
      </c>
      <c r="I83" s="415">
        <v>56.3</v>
      </c>
      <c r="J83" s="415">
        <v>55.4</v>
      </c>
      <c r="K83" s="415">
        <v>54.4</v>
      </c>
    </row>
    <row r="84" ht="12.75" customHeight="1" spans="1:11" x14ac:dyDescent="0.25">
      <c r="A84" s="220">
        <v>73</v>
      </c>
      <c r="B84" s="415">
        <v>63.1</v>
      </c>
      <c r="C84" s="415">
        <v>62.1</v>
      </c>
      <c r="D84" s="415">
        <v>61.2</v>
      </c>
      <c r="E84" s="415">
        <v>60.2</v>
      </c>
      <c r="F84" s="415">
        <v>59.2</v>
      </c>
      <c r="G84" s="415">
        <v>58.3</v>
      </c>
      <c r="H84" s="415">
        <v>57.3</v>
      </c>
      <c r="I84" s="415">
        <v>56.3</v>
      </c>
      <c r="J84" s="415">
        <v>55.4</v>
      </c>
      <c r="K84" s="415">
        <v>54.4</v>
      </c>
    </row>
    <row r="85" ht="12.75" customHeight="1" spans="1:11" x14ac:dyDescent="0.25">
      <c r="A85" s="220">
        <v>74</v>
      </c>
      <c r="B85" s="415">
        <v>63.1</v>
      </c>
      <c r="C85" s="415">
        <v>62.1</v>
      </c>
      <c r="D85" s="415">
        <v>61.2</v>
      </c>
      <c r="E85" s="415">
        <v>60.2</v>
      </c>
      <c r="F85" s="415">
        <v>59.2</v>
      </c>
      <c r="G85" s="415">
        <v>58.2</v>
      </c>
      <c r="H85" s="415">
        <v>57.3</v>
      </c>
      <c r="I85" s="415">
        <v>56.3</v>
      </c>
      <c r="J85" s="415">
        <v>55.4</v>
      </c>
      <c r="K85" s="415">
        <v>54.4</v>
      </c>
    </row>
    <row r="86" ht="12.75" customHeight="1" spans="1:11" x14ac:dyDescent="0.25">
      <c r="A86" s="220">
        <v>75</v>
      </c>
      <c r="B86" s="415">
        <v>63.1</v>
      </c>
      <c r="C86" s="415">
        <v>62.1</v>
      </c>
      <c r="D86" s="415">
        <v>61.1</v>
      </c>
      <c r="E86" s="415">
        <v>60.2</v>
      </c>
      <c r="F86" s="415">
        <v>59.2</v>
      </c>
      <c r="G86" s="415">
        <v>58.2</v>
      </c>
      <c r="H86" s="415">
        <v>57.3</v>
      </c>
      <c r="I86" s="415">
        <v>56.3</v>
      </c>
      <c r="J86" s="415">
        <v>55.3</v>
      </c>
      <c r="K86" s="415">
        <v>54.4</v>
      </c>
    </row>
    <row r="87" ht="12.75" customHeight="1" spans="1:11" x14ac:dyDescent="0.25">
      <c r="A87" s="220">
        <v>76</v>
      </c>
      <c r="B87" s="415">
        <v>63.1</v>
      </c>
      <c r="C87" s="415">
        <v>62.1</v>
      </c>
      <c r="D87" s="415">
        <v>61.1</v>
      </c>
      <c r="E87" s="415">
        <v>60.2</v>
      </c>
      <c r="F87" s="415">
        <v>59.2</v>
      </c>
      <c r="G87" s="415">
        <v>58.2</v>
      </c>
      <c r="H87" s="415">
        <v>57.3</v>
      </c>
      <c r="I87" s="415">
        <v>56.3</v>
      </c>
      <c r="J87" s="415">
        <v>55.3</v>
      </c>
      <c r="K87" s="415">
        <v>54.4</v>
      </c>
    </row>
    <row r="88" ht="12.75" customHeight="1" spans="1:11" x14ac:dyDescent="0.25">
      <c r="A88" s="220">
        <v>77</v>
      </c>
      <c r="B88" s="415">
        <v>63.1</v>
      </c>
      <c r="C88" s="415">
        <v>62.1</v>
      </c>
      <c r="D88" s="415">
        <v>61.1</v>
      </c>
      <c r="E88" s="415">
        <v>60.2</v>
      </c>
      <c r="F88" s="415">
        <v>59.2</v>
      </c>
      <c r="G88" s="415">
        <v>58.2</v>
      </c>
      <c r="H88" s="415">
        <v>57.3</v>
      </c>
      <c r="I88" s="415">
        <v>56.3</v>
      </c>
      <c r="J88" s="415">
        <v>55.3</v>
      </c>
      <c r="K88" s="415">
        <v>54.4</v>
      </c>
    </row>
    <row r="89" ht="12.75" customHeight="1" spans="1:11" x14ac:dyDescent="0.25">
      <c r="A89" s="220">
        <v>78</v>
      </c>
      <c r="B89" s="415">
        <v>63.1</v>
      </c>
      <c r="C89" s="415">
        <v>62.1</v>
      </c>
      <c r="D89" s="415">
        <v>61.1</v>
      </c>
      <c r="E89" s="415">
        <v>60.2</v>
      </c>
      <c r="F89" s="415">
        <v>59.2</v>
      </c>
      <c r="G89" s="415">
        <v>58.2</v>
      </c>
      <c r="H89" s="415">
        <v>57.3</v>
      </c>
      <c r="I89" s="415">
        <v>56.3</v>
      </c>
      <c r="J89" s="415">
        <v>55.3</v>
      </c>
      <c r="K89" s="415">
        <v>54.4</v>
      </c>
    </row>
    <row r="90" ht="12.75" customHeight="1" spans="1:11" x14ac:dyDescent="0.25">
      <c r="A90" s="220">
        <v>79</v>
      </c>
      <c r="B90" s="415">
        <v>63.1</v>
      </c>
      <c r="C90" s="415">
        <v>62.1</v>
      </c>
      <c r="D90" s="415">
        <v>61.1</v>
      </c>
      <c r="E90" s="415">
        <v>60.2</v>
      </c>
      <c r="F90" s="415">
        <v>59.2</v>
      </c>
      <c r="G90" s="415">
        <v>58.2</v>
      </c>
      <c r="H90" s="415">
        <v>57.2</v>
      </c>
      <c r="I90" s="415">
        <v>56.3</v>
      </c>
      <c r="J90" s="415">
        <v>55.3</v>
      </c>
      <c r="K90" s="415">
        <v>54.3</v>
      </c>
    </row>
    <row r="91" ht="12.75" customHeight="1" spans="1:11" x14ac:dyDescent="0.25">
      <c r="A91" s="220">
        <v>80</v>
      </c>
      <c r="B91" s="415">
        <v>63.1</v>
      </c>
      <c r="C91" s="415">
        <v>62.1</v>
      </c>
      <c r="D91" s="415">
        <v>61.1</v>
      </c>
      <c r="E91" s="415">
        <v>60.1</v>
      </c>
      <c r="F91" s="415">
        <v>59.2</v>
      </c>
      <c r="G91" s="415">
        <v>58.2</v>
      </c>
      <c r="H91" s="415">
        <v>57.2</v>
      </c>
      <c r="I91" s="415">
        <v>56.3</v>
      </c>
      <c r="J91" s="415">
        <v>55.3</v>
      </c>
      <c r="K91" s="415">
        <v>54.3</v>
      </c>
    </row>
    <row r="92" ht="12.75" customHeight="1" spans="1:11" x14ac:dyDescent="0.25">
      <c r="A92" s="220">
        <v>81</v>
      </c>
      <c r="B92" s="415">
        <v>63.1</v>
      </c>
      <c r="C92" s="415">
        <v>62.1</v>
      </c>
      <c r="D92" s="415">
        <v>61.1</v>
      </c>
      <c r="E92" s="415">
        <v>60.1</v>
      </c>
      <c r="F92" s="415">
        <v>59.2</v>
      </c>
      <c r="G92" s="415">
        <v>58.2</v>
      </c>
      <c r="H92" s="415">
        <v>57.2</v>
      </c>
      <c r="I92" s="415">
        <v>56.3</v>
      </c>
      <c r="J92" s="415">
        <v>55.3</v>
      </c>
      <c r="K92" s="415">
        <v>54.3</v>
      </c>
    </row>
    <row r="93" ht="12.75" customHeight="1" spans="1:11" x14ac:dyDescent="0.25">
      <c r="A93" s="220">
        <v>82</v>
      </c>
      <c r="B93" s="415">
        <v>63.1</v>
      </c>
      <c r="C93" s="415">
        <v>62.1</v>
      </c>
      <c r="D93" s="415">
        <v>61.1</v>
      </c>
      <c r="E93" s="415">
        <v>60.1</v>
      </c>
      <c r="F93" s="415">
        <v>59.2</v>
      </c>
      <c r="G93" s="415">
        <v>58.2</v>
      </c>
      <c r="H93" s="415">
        <v>57.2</v>
      </c>
      <c r="I93" s="415">
        <v>56.3</v>
      </c>
      <c r="J93" s="415">
        <v>55.3</v>
      </c>
      <c r="K93" s="415">
        <v>54.3</v>
      </c>
    </row>
    <row r="94" ht="12.75" customHeight="1" spans="1:11" x14ac:dyDescent="0.25">
      <c r="A94" s="220">
        <v>83</v>
      </c>
      <c r="B94" s="415">
        <v>63.1</v>
      </c>
      <c r="C94" s="415">
        <v>62.1</v>
      </c>
      <c r="D94" s="415">
        <v>61.1</v>
      </c>
      <c r="E94" s="415">
        <v>60.1</v>
      </c>
      <c r="F94" s="415">
        <v>59.2</v>
      </c>
      <c r="G94" s="415">
        <v>58.2</v>
      </c>
      <c r="H94" s="415">
        <v>57.2</v>
      </c>
      <c r="I94" s="415">
        <v>56.3</v>
      </c>
      <c r="J94" s="415">
        <v>55.3</v>
      </c>
      <c r="K94" s="415">
        <v>54.3</v>
      </c>
    </row>
    <row r="95" ht="12.75" customHeight="1" spans="1:11" x14ac:dyDescent="0.25">
      <c r="A95" s="220">
        <v>84</v>
      </c>
      <c r="B95" s="415">
        <v>63</v>
      </c>
      <c r="C95" s="415">
        <v>62.1</v>
      </c>
      <c r="D95" s="415">
        <v>61.1</v>
      </c>
      <c r="E95" s="415">
        <v>60.1</v>
      </c>
      <c r="F95" s="415">
        <v>59.2</v>
      </c>
      <c r="G95" s="415">
        <v>58.2</v>
      </c>
      <c r="H95" s="415">
        <v>57.2</v>
      </c>
      <c r="I95" s="415">
        <v>56.3</v>
      </c>
      <c r="J95" s="415">
        <v>55.3</v>
      </c>
      <c r="K95" s="415">
        <v>54.3</v>
      </c>
    </row>
    <row r="96" ht="12.75" customHeight="1" spans="1:11" x14ac:dyDescent="0.25">
      <c r="A96" s="220">
        <v>85</v>
      </c>
      <c r="B96" s="415">
        <v>63</v>
      </c>
      <c r="C96" s="415">
        <v>62.1</v>
      </c>
      <c r="D96" s="415">
        <v>61.1</v>
      </c>
      <c r="E96" s="415">
        <v>60.1</v>
      </c>
      <c r="F96" s="415">
        <v>59.2</v>
      </c>
      <c r="G96" s="415">
        <v>58.2</v>
      </c>
      <c r="H96" s="415">
        <v>57.2</v>
      </c>
      <c r="I96" s="415">
        <v>56.3</v>
      </c>
      <c r="J96" s="415">
        <v>55.3</v>
      </c>
      <c r="K96" s="415">
        <v>54.3</v>
      </c>
    </row>
    <row r="97" ht="12.75" customHeight="1" spans="1:11" x14ac:dyDescent="0.25">
      <c r="A97" s="220">
        <v>86</v>
      </c>
      <c r="B97" s="415">
        <v>63</v>
      </c>
      <c r="C97" s="415">
        <v>62.1</v>
      </c>
      <c r="D97" s="415">
        <v>61.1</v>
      </c>
      <c r="E97" s="415">
        <v>60.1</v>
      </c>
      <c r="F97" s="415">
        <v>59.2</v>
      </c>
      <c r="G97" s="415">
        <v>58.2</v>
      </c>
      <c r="H97" s="415">
        <v>57.2</v>
      </c>
      <c r="I97" s="415">
        <v>56.2</v>
      </c>
      <c r="J97" s="415">
        <v>55.3</v>
      </c>
      <c r="K97" s="415">
        <v>54.3</v>
      </c>
    </row>
    <row r="98" ht="12.75" customHeight="1" spans="1:11" x14ac:dyDescent="0.25">
      <c r="A98" s="220">
        <v>87</v>
      </c>
      <c r="B98" s="415">
        <v>63</v>
      </c>
      <c r="C98" s="415">
        <v>62.1</v>
      </c>
      <c r="D98" s="415">
        <v>61.1</v>
      </c>
      <c r="E98" s="415">
        <v>60.1</v>
      </c>
      <c r="F98" s="415">
        <v>59.2</v>
      </c>
      <c r="G98" s="415">
        <v>58.2</v>
      </c>
      <c r="H98" s="415">
        <v>57.2</v>
      </c>
      <c r="I98" s="415">
        <v>56.2</v>
      </c>
      <c r="J98" s="415">
        <v>55.3</v>
      </c>
      <c r="K98" s="415">
        <v>54.3</v>
      </c>
    </row>
    <row r="99" ht="12.75" customHeight="1" spans="1:11" x14ac:dyDescent="0.25">
      <c r="A99" s="220">
        <v>88</v>
      </c>
      <c r="B99" s="415">
        <v>63</v>
      </c>
      <c r="C99" s="415">
        <v>62.1</v>
      </c>
      <c r="D99" s="415">
        <v>61.1</v>
      </c>
      <c r="E99" s="415">
        <v>60.1</v>
      </c>
      <c r="F99" s="415">
        <v>59.2</v>
      </c>
      <c r="G99" s="415">
        <v>58.2</v>
      </c>
      <c r="H99" s="415">
        <v>57.2</v>
      </c>
      <c r="I99" s="415">
        <v>56.2</v>
      </c>
      <c r="J99" s="415">
        <v>55.3</v>
      </c>
      <c r="K99" s="415">
        <v>54.3</v>
      </c>
    </row>
    <row r="100" ht="12.75" customHeight="1" spans="1:11" x14ac:dyDescent="0.25">
      <c r="A100" s="220">
        <v>89</v>
      </c>
      <c r="B100" s="415">
        <v>63</v>
      </c>
      <c r="C100" s="415">
        <v>62.1</v>
      </c>
      <c r="D100" s="415">
        <v>61.1</v>
      </c>
      <c r="E100" s="415">
        <v>60.1</v>
      </c>
      <c r="F100" s="415">
        <v>59.1</v>
      </c>
      <c r="G100" s="415">
        <v>58.2</v>
      </c>
      <c r="H100" s="415">
        <v>57.2</v>
      </c>
      <c r="I100" s="415">
        <v>56.2</v>
      </c>
      <c r="J100" s="415">
        <v>55.3</v>
      </c>
      <c r="K100" s="415">
        <v>54.3</v>
      </c>
    </row>
    <row r="101" ht="12.75" customHeight="1" spans="1:11" x14ac:dyDescent="0.25">
      <c r="A101" s="220">
        <v>90</v>
      </c>
      <c r="B101" s="415">
        <v>63</v>
      </c>
      <c r="C101" s="415">
        <v>62.1</v>
      </c>
      <c r="D101" s="415">
        <v>61.1</v>
      </c>
      <c r="E101" s="415">
        <v>60.1</v>
      </c>
      <c r="F101" s="415">
        <v>59.1</v>
      </c>
      <c r="G101" s="415">
        <v>58.2</v>
      </c>
      <c r="H101" s="415">
        <v>57.2</v>
      </c>
      <c r="I101" s="415">
        <v>56.2</v>
      </c>
      <c r="J101" s="415">
        <v>55.3</v>
      </c>
      <c r="K101" s="415">
        <v>54.3</v>
      </c>
    </row>
    <row r="102" ht="12.75" customHeight="1" spans="1:11" x14ac:dyDescent="0.25">
      <c r="A102" s="220">
        <v>91</v>
      </c>
      <c r="B102" s="415">
        <v>63</v>
      </c>
      <c r="C102" s="415">
        <v>62.1</v>
      </c>
      <c r="D102" s="415">
        <v>61.1</v>
      </c>
      <c r="E102" s="415">
        <v>60.1</v>
      </c>
      <c r="F102" s="415">
        <v>59.1</v>
      </c>
      <c r="G102" s="415">
        <v>58.2</v>
      </c>
      <c r="H102" s="415">
        <v>57.2</v>
      </c>
      <c r="I102" s="415">
        <v>56.2</v>
      </c>
      <c r="J102" s="415">
        <v>55.3</v>
      </c>
      <c r="K102" s="415">
        <v>54.3</v>
      </c>
    </row>
    <row r="103" ht="12.75" customHeight="1" spans="1:11" x14ac:dyDescent="0.25">
      <c r="A103" s="220">
        <v>92</v>
      </c>
      <c r="B103" s="415">
        <v>63</v>
      </c>
      <c r="C103" s="415">
        <v>62.1</v>
      </c>
      <c r="D103" s="415">
        <v>61.1</v>
      </c>
      <c r="E103" s="415">
        <v>60.1</v>
      </c>
      <c r="F103" s="415">
        <v>59.1</v>
      </c>
      <c r="G103" s="415">
        <v>58.2</v>
      </c>
      <c r="H103" s="415">
        <v>57.2</v>
      </c>
      <c r="I103" s="415">
        <v>56.2</v>
      </c>
      <c r="J103" s="415">
        <v>55.3</v>
      </c>
      <c r="K103" s="415">
        <v>54.3</v>
      </c>
    </row>
    <row r="104" ht="12.75" customHeight="1" spans="1:11" x14ac:dyDescent="0.25">
      <c r="A104" s="220">
        <v>93</v>
      </c>
      <c r="B104" s="415">
        <v>63</v>
      </c>
      <c r="C104" s="415">
        <v>62.1</v>
      </c>
      <c r="D104" s="415">
        <v>61.1</v>
      </c>
      <c r="E104" s="415">
        <v>60.1</v>
      </c>
      <c r="F104" s="415">
        <v>59.1</v>
      </c>
      <c r="G104" s="415">
        <v>58.2</v>
      </c>
      <c r="H104" s="415">
        <v>57.2</v>
      </c>
      <c r="I104" s="415">
        <v>56.2</v>
      </c>
      <c r="J104" s="415">
        <v>55.3</v>
      </c>
      <c r="K104" s="415">
        <v>54.3</v>
      </c>
    </row>
    <row r="105" ht="12.75" customHeight="1" spans="1:11" x14ac:dyDescent="0.25">
      <c r="A105" s="220">
        <v>94</v>
      </c>
      <c r="B105" s="415">
        <v>63</v>
      </c>
      <c r="C105" s="415">
        <v>62.1</v>
      </c>
      <c r="D105" s="415">
        <v>61.1</v>
      </c>
      <c r="E105" s="415">
        <v>60.1</v>
      </c>
      <c r="F105" s="415">
        <v>59.1</v>
      </c>
      <c r="G105" s="415">
        <v>58.2</v>
      </c>
      <c r="H105" s="415">
        <v>57.2</v>
      </c>
      <c r="I105" s="415">
        <v>56.2</v>
      </c>
      <c r="J105" s="415">
        <v>55.3</v>
      </c>
      <c r="K105" s="415">
        <v>54.3</v>
      </c>
    </row>
    <row r="106" ht="12.75" customHeight="1" spans="1:11" x14ac:dyDescent="0.25">
      <c r="A106" s="220">
        <v>95</v>
      </c>
      <c r="B106" s="415">
        <v>63</v>
      </c>
      <c r="C106" s="415">
        <v>62.1</v>
      </c>
      <c r="D106" s="415">
        <v>61.1</v>
      </c>
      <c r="E106" s="415">
        <v>60.1</v>
      </c>
      <c r="F106" s="415">
        <v>59.1</v>
      </c>
      <c r="G106" s="415">
        <v>58.2</v>
      </c>
      <c r="H106" s="415">
        <v>57.2</v>
      </c>
      <c r="I106" s="415">
        <v>56.2</v>
      </c>
      <c r="J106" s="415">
        <v>55.3</v>
      </c>
      <c r="K106" s="415">
        <v>54.3</v>
      </c>
    </row>
    <row r="107" ht="12.75" customHeight="1" spans="1:11" x14ac:dyDescent="0.25">
      <c r="A107" s="220">
        <v>96</v>
      </c>
      <c r="B107" s="415">
        <v>63</v>
      </c>
      <c r="C107" s="415">
        <v>62.1</v>
      </c>
      <c r="D107" s="415">
        <v>61.1</v>
      </c>
      <c r="E107" s="415">
        <v>60.1</v>
      </c>
      <c r="F107" s="415">
        <v>59.1</v>
      </c>
      <c r="G107" s="415">
        <v>58.2</v>
      </c>
      <c r="H107" s="415">
        <v>57.2</v>
      </c>
      <c r="I107" s="415">
        <v>56.2</v>
      </c>
      <c r="J107" s="415">
        <v>55.3</v>
      </c>
      <c r="K107" s="415">
        <v>54.3</v>
      </c>
    </row>
    <row r="108" ht="12.75" customHeight="1" spans="1:11" x14ac:dyDescent="0.25">
      <c r="A108" s="220">
        <v>97</v>
      </c>
      <c r="B108" s="415">
        <v>63</v>
      </c>
      <c r="C108" s="415">
        <v>62.1</v>
      </c>
      <c r="D108" s="415">
        <v>61.1</v>
      </c>
      <c r="E108" s="415">
        <v>60.1</v>
      </c>
      <c r="F108" s="415">
        <v>59.1</v>
      </c>
      <c r="G108" s="415">
        <v>58.2</v>
      </c>
      <c r="H108" s="415">
        <v>57.2</v>
      </c>
      <c r="I108" s="415">
        <v>56.2</v>
      </c>
      <c r="J108" s="415">
        <v>55.3</v>
      </c>
      <c r="K108" s="415">
        <v>54.3</v>
      </c>
    </row>
    <row r="109" ht="12.75" customHeight="1" spans="1:11" x14ac:dyDescent="0.25">
      <c r="A109" s="220">
        <v>98</v>
      </c>
      <c r="B109" s="415">
        <v>63</v>
      </c>
      <c r="C109" s="415">
        <v>62.1</v>
      </c>
      <c r="D109" s="415">
        <v>61.1</v>
      </c>
      <c r="E109" s="415">
        <v>60.1</v>
      </c>
      <c r="F109" s="415">
        <v>59.1</v>
      </c>
      <c r="G109" s="415">
        <v>58.2</v>
      </c>
      <c r="H109" s="415">
        <v>57.2</v>
      </c>
      <c r="I109" s="415">
        <v>56.2</v>
      </c>
      <c r="J109" s="415">
        <v>55.3</v>
      </c>
      <c r="K109" s="415">
        <v>54.3</v>
      </c>
    </row>
    <row r="110" ht="12.75" customHeight="1" spans="1:11" x14ac:dyDescent="0.25">
      <c r="A110" s="220">
        <v>99</v>
      </c>
      <c r="B110" s="415">
        <v>63</v>
      </c>
      <c r="C110" s="415">
        <v>62.1</v>
      </c>
      <c r="D110" s="415">
        <v>61.1</v>
      </c>
      <c r="E110" s="415">
        <v>60.1</v>
      </c>
      <c r="F110" s="415">
        <v>59.1</v>
      </c>
      <c r="G110" s="415">
        <v>58.2</v>
      </c>
      <c r="H110" s="415">
        <v>57.2</v>
      </c>
      <c r="I110" s="415">
        <v>56.2</v>
      </c>
      <c r="J110" s="415">
        <v>55.3</v>
      </c>
      <c r="K110" s="415">
        <v>54.3</v>
      </c>
    </row>
    <row r="111" ht="12.75" customHeight="1" spans="1:11" x14ac:dyDescent="0.25">
      <c r="A111" s="416">
        <v>100</v>
      </c>
      <c r="B111" s="415">
        <v>63</v>
      </c>
      <c r="C111" s="415">
        <v>62.1</v>
      </c>
      <c r="D111" s="415">
        <v>61.1</v>
      </c>
      <c r="E111" s="415">
        <v>60.1</v>
      </c>
      <c r="F111" s="415">
        <v>59.1</v>
      </c>
      <c r="G111" s="415">
        <v>58.2</v>
      </c>
      <c r="H111" s="415">
        <v>57.2</v>
      </c>
      <c r="I111" s="415">
        <v>56.2</v>
      </c>
      <c r="J111" s="415">
        <v>55.3</v>
      </c>
      <c r="K111" s="415">
        <v>54.3</v>
      </c>
    </row>
    <row r="112" ht="12.75" customHeight="1" spans="1:11" x14ac:dyDescent="0.25">
      <c r="A112" s="220">
        <v>101</v>
      </c>
      <c r="B112" s="415">
        <v>63</v>
      </c>
      <c r="C112" s="415">
        <v>62.1</v>
      </c>
      <c r="D112" s="415">
        <v>61.1</v>
      </c>
      <c r="E112" s="415">
        <v>60.1</v>
      </c>
      <c r="F112" s="415">
        <v>59.1</v>
      </c>
      <c r="G112" s="415">
        <v>58.2</v>
      </c>
      <c r="H112" s="415">
        <v>57.2</v>
      </c>
      <c r="I112" s="415">
        <v>56.2</v>
      </c>
      <c r="J112" s="415">
        <v>55.3</v>
      </c>
      <c r="K112" s="415">
        <v>54.3</v>
      </c>
    </row>
    <row r="113" ht="12.75" customHeight="1" spans="1:11" x14ac:dyDescent="0.25">
      <c r="A113" s="220">
        <v>102</v>
      </c>
      <c r="B113" s="415">
        <v>63</v>
      </c>
      <c r="C113" s="415">
        <v>62.1</v>
      </c>
      <c r="D113" s="415">
        <v>61.1</v>
      </c>
      <c r="E113" s="415">
        <v>60.1</v>
      </c>
      <c r="F113" s="415">
        <v>59.1</v>
      </c>
      <c r="G113" s="415">
        <v>58.2</v>
      </c>
      <c r="H113" s="415">
        <v>57.2</v>
      </c>
      <c r="I113" s="415">
        <v>56.2</v>
      </c>
      <c r="J113" s="415">
        <v>55.3</v>
      </c>
      <c r="K113" s="415">
        <v>54.3</v>
      </c>
    </row>
    <row r="114" ht="12.75" customHeight="1" spans="1:11" x14ac:dyDescent="0.25">
      <c r="A114" s="220">
        <v>103</v>
      </c>
      <c r="B114" s="415">
        <v>63</v>
      </c>
      <c r="C114" s="415">
        <v>62.1</v>
      </c>
      <c r="D114" s="415">
        <v>61.1</v>
      </c>
      <c r="E114" s="415">
        <v>60.1</v>
      </c>
      <c r="F114" s="415">
        <v>59.1</v>
      </c>
      <c r="G114" s="415">
        <v>58.2</v>
      </c>
      <c r="H114" s="415">
        <v>57.2</v>
      </c>
      <c r="I114" s="415">
        <v>56.2</v>
      </c>
      <c r="J114" s="415">
        <v>55.3</v>
      </c>
      <c r="K114" s="415">
        <v>54.3</v>
      </c>
    </row>
    <row r="115" ht="12.75" customHeight="1" spans="1:11" x14ac:dyDescent="0.25">
      <c r="A115" s="220">
        <v>104</v>
      </c>
      <c r="B115" s="415">
        <v>63</v>
      </c>
      <c r="C115" s="415">
        <v>62.1</v>
      </c>
      <c r="D115" s="415">
        <v>61.1</v>
      </c>
      <c r="E115" s="415">
        <v>60.1</v>
      </c>
      <c r="F115" s="415">
        <v>59.1</v>
      </c>
      <c r="G115" s="415">
        <v>58.2</v>
      </c>
      <c r="H115" s="415">
        <v>57.2</v>
      </c>
      <c r="I115" s="415">
        <v>56.2</v>
      </c>
      <c r="J115" s="415">
        <v>55.3</v>
      </c>
      <c r="K115" s="415">
        <v>54.3</v>
      </c>
    </row>
    <row r="116" ht="12.75" customHeight="1" spans="1:11" x14ac:dyDescent="0.25">
      <c r="A116" s="220">
        <v>105</v>
      </c>
      <c r="B116" s="415">
        <v>63</v>
      </c>
      <c r="C116" s="415">
        <v>62.1</v>
      </c>
      <c r="D116" s="415">
        <v>61.1</v>
      </c>
      <c r="E116" s="415">
        <v>60.1</v>
      </c>
      <c r="F116" s="415">
        <v>59.1</v>
      </c>
      <c r="G116" s="415">
        <v>58.2</v>
      </c>
      <c r="H116" s="415">
        <v>57.2</v>
      </c>
      <c r="I116" s="415">
        <v>56.2</v>
      </c>
      <c r="J116" s="415">
        <v>55.3</v>
      </c>
      <c r="K116" s="415">
        <v>54.3</v>
      </c>
    </row>
    <row r="117" ht="12.75" customHeight="1" spans="1:11" x14ac:dyDescent="0.25">
      <c r="A117" s="220">
        <v>106</v>
      </c>
      <c r="B117" s="415">
        <v>63</v>
      </c>
      <c r="C117" s="415">
        <v>62.1</v>
      </c>
      <c r="D117" s="415">
        <v>61.1</v>
      </c>
      <c r="E117" s="415">
        <v>60.1</v>
      </c>
      <c r="F117" s="415">
        <v>59.1</v>
      </c>
      <c r="G117" s="415">
        <v>58.2</v>
      </c>
      <c r="H117" s="415">
        <v>57.2</v>
      </c>
      <c r="I117" s="415">
        <v>56.2</v>
      </c>
      <c r="J117" s="415">
        <v>55.3</v>
      </c>
      <c r="K117" s="415">
        <v>54.3</v>
      </c>
    </row>
    <row r="118" ht="12.75" customHeight="1" spans="1:11" x14ac:dyDescent="0.25">
      <c r="A118" s="220">
        <v>107</v>
      </c>
      <c r="B118" s="415">
        <v>63</v>
      </c>
      <c r="C118" s="415">
        <v>62.1</v>
      </c>
      <c r="D118" s="415">
        <v>61.1</v>
      </c>
      <c r="E118" s="415">
        <v>60.1</v>
      </c>
      <c r="F118" s="415">
        <v>59.1</v>
      </c>
      <c r="G118" s="415">
        <v>58.2</v>
      </c>
      <c r="H118" s="415">
        <v>57.2</v>
      </c>
      <c r="I118" s="415">
        <v>56.2</v>
      </c>
      <c r="J118" s="415">
        <v>55.3</v>
      </c>
      <c r="K118" s="415">
        <v>54.3</v>
      </c>
    </row>
    <row r="119" ht="12.75" customHeight="1" spans="1:11" x14ac:dyDescent="0.25">
      <c r="A119" s="220">
        <v>108</v>
      </c>
      <c r="B119" s="415">
        <v>63</v>
      </c>
      <c r="C119" s="415">
        <v>62.1</v>
      </c>
      <c r="D119" s="415">
        <v>61.1</v>
      </c>
      <c r="E119" s="415">
        <v>60.1</v>
      </c>
      <c r="F119" s="415">
        <v>59.1</v>
      </c>
      <c r="G119" s="415">
        <v>58.2</v>
      </c>
      <c r="H119" s="415">
        <v>57.2</v>
      </c>
      <c r="I119" s="415">
        <v>56.2</v>
      </c>
      <c r="J119" s="415">
        <v>55.3</v>
      </c>
      <c r="K119" s="415">
        <v>54.3</v>
      </c>
    </row>
    <row r="120" ht="12.75" customHeight="1" spans="1:11" x14ac:dyDescent="0.25">
      <c r="A120" s="220">
        <v>109</v>
      </c>
      <c r="B120" s="415">
        <v>63</v>
      </c>
      <c r="C120" s="415">
        <v>62.1</v>
      </c>
      <c r="D120" s="415">
        <v>61.1</v>
      </c>
      <c r="E120" s="415">
        <v>60.1</v>
      </c>
      <c r="F120" s="415">
        <v>59.1</v>
      </c>
      <c r="G120" s="415">
        <v>58.2</v>
      </c>
      <c r="H120" s="415">
        <v>57.2</v>
      </c>
      <c r="I120" s="415">
        <v>56.2</v>
      </c>
      <c r="J120" s="415">
        <v>55.3</v>
      </c>
      <c r="K120" s="415">
        <v>54.3</v>
      </c>
    </row>
    <row r="121" ht="12.75" customHeight="1" spans="1:11" x14ac:dyDescent="0.25">
      <c r="A121" s="220">
        <v>110</v>
      </c>
      <c r="B121" s="415">
        <v>63</v>
      </c>
      <c r="C121" s="415">
        <v>62.1</v>
      </c>
      <c r="D121" s="415">
        <v>61.1</v>
      </c>
      <c r="E121" s="415">
        <v>60.1</v>
      </c>
      <c r="F121" s="415">
        <v>59.1</v>
      </c>
      <c r="G121" s="415">
        <v>58.2</v>
      </c>
      <c r="H121" s="415">
        <v>57.2</v>
      </c>
      <c r="I121" s="415">
        <v>56.2</v>
      </c>
      <c r="J121" s="415">
        <v>55.3</v>
      </c>
      <c r="K121" s="415">
        <v>54.3</v>
      </c>
    </row>
    <row r="122" ht="12.75" customHeight="1" spans="1:11" x14ac:dyDescent="0.25">
      <c r="A122" s="220">
        <v>111</v>
      </c>
      <c r="B122" s="415">
        <v>63</v>
      </c>
      <c r="C122" s="415">
        <v>62.1</v>
      </c>
      <c r="D122" s="415">
        <v>61.1</v>
      </c>
      <c r="E122" s="415">
        <v>60.1</v>
      </c>
      <c r="F122" s="415">
        <v>59.1</v>
      </c>
      <c r="G122" s="415">
        <v>58.2</v>
      </c>
      <c r="H122" s="415">
        <v>57.2</v>
      </c>
      <c r="I122" s="415">
        <v>56.2</v>
      </c>
      <c r="J122" s="415">
        <v>55.3</v>
      </c>
      <c r="K122" s="415">
        <v>54.3</v>
      </c>
    </row>
    <row r="123" ht="12.75" customHeight="1" spans="1:11" x14ac:dyDescent="0.25">
      <c r="A123" s="220">
        <v>112</v>
      </c>
      <c r="B123" s="415">
        <v>63</v>
      </c>
      <c r="C123" s="415">
        <v>62.1</v>
      </c>
      <c r="D123" s="415">
        <v>61.1</v>
      </c>
      <c r="E123" s="415">
        <v>60.1</v>
      </c>
      <c r="F123" s="415">
        <v>59.1</v>
      </c>
      <c r="G123" s="415">
        <v>58.2</v>
      </c>
      <c r="H123" s="415">
        <v>57.2</v>
      </c>
      <c r="I123" s="415">
        <v>56.2</v>
      </c>
      <c r="J123" s="415">
        <v>55.3</v>
      </c>
      <c r="K123" s="415">
        <v>54.3</v>
      </c>
    </row>
    <row r="124" ht="12.75" customHeight="1" spans="1:11" x14ac:dyDescent="0.25">
      <c r="A124" s="220">
        <v>113</v>
      </c>
      <c r="B124" s="415">
        <v>63</v>
      </c>
      <c r="C124" s="415">
        <v>62.1</v>
      </c>
      <c r="D124" s="415">
        <v>61.1</v>
      </c>
      <c r="E124" s="415">
        <v>60.1</v>
      </c>
      <c r="F124" s="415">
        <v>59.1</v>
      </c>
      <c r="G124" s="415">
        <v>58.2</v>
      </c>
      <c r="H124" s="415">
        <v>57.2</v>
      </c>
      <c r="I124" s="415">
        <v>56.2</v>
      </c>
      <c r="J124" s="415">
        <v>55.3</v>
      </c>
      <c r="K124" s="415">
        <v>54.3</v>
      </c>
    </row>
    <row r="125" ht="12.75" customHeight="1" spans="1:11" x14ac:dyDescent="0.25">
      <c r="A125" s="220">
        <v>114</v>
      </c>
      <c r="B125" s="415">
        <v>63</v>
      </c>
      <c r="C125" s="415">
        <v>62.1</v>
      </c>
      <c r="D125" s="415">
        <v>61.1</v>
      </c>
      <c r="E125" s="415">
        <v>60.1</v>
      </c>
      <c r="F125" s="415">
        <v>59.1</v>
      </c>
      <c r="G125" s="415">
        <v>58.2</v>
      </c>
      <c r="H125" s="415">
        <v>57.2</v>
      </c>
      <c r="I125" s="415">
        <v>56.2</v>
      </c>
      <c r="J125" s="415">
        <v>55.3</v>
      </c>
      <c r="K125" s="415">
        <v>54.3</v>
      </c>
    </row>
    <row r="126" ht="13.5" customHeight="1" spans="1:11" x14ac:dyDescent="0.25">
      <c r="A126" s="220" t="s">
        <v>698</v>
      </c>
      <c r="B126" s="415">
        <v>63</v>
      </c>
      <c r="C126" s="415">
        <v>62.1</v>
      </c>
      <c r="D126" s="415">
        <v>61.1</v>
      </c>
      <c r="E126" s="415">
        <v>60.1</v>
      </c>
      <c r="F126" s="415">
        <v>59.1</v>
      </c>
      <c r="G126" s="415">
        <v>58.2</v>
      </c>
      <c r="H126" s="415">
        <v>57.2</v>
      </c>
      <c r="I126" s="415">
        <v>56.2</v>
      </c>
      <c r="J126" s="415">
        <v>55.3</v>
      </c>
      <c r="K126" s="415">
        <v>54.3</v>
      </c>
    </row>
    <row r="127" ht="12.75" customHeight="1" spans="1:1" x14ac:dyDescent="0.25">
      <c r="A127" s="20"/>
    </row>
    <row r="128" ht="13.5" customHeight="1" spans="1:11" x14ac:dyDescent="0.25">
      <c r="A128" s="417" t="s">
        <v>697</v>
      </c>
      <c r="B128" s="418">
        <v>30</v>
      </c>
      <c r="C128" s="418">
        <v>31</v>
      </c>
      <c r="D128" s="418">
        <v>32</v>
      </c>
      <c r="E128" s="418">
        <v>33</v>
      </c>
      <c r="F128" s="418">
        <v>34</v>
      </c>
      <c r="G128" s="418">
        <v>35</v>
      </c>
      <c r="H128" s="418">
        <v>36</v>
      </c>
      <c r="I128" s="418">
        <v>37</v>
      </c>
      <c r="J128" s="418">
        <v>38</v>
      </c>
      <c r="K128" s="418">
        <v>39</v>
      </c>
    </row>
    <row r="129" ht="12.75" customHeight="1" spans="1:11" x14ac:dyDescent="0.25">
      <c r="A129" s="220">
        <v>30</v>
      </c>
      <c r="B129" s="415">
        <v>60.2</v>
      </c>
      <c r="C129" s="415">
        <v>59.7</v>
      </c>
      <c r="D129" s="415">
        <v>59.2</v>
      </c>
      <c r="E129" s="415">
        <v>58.8</v>
      </c>
      <c r="F129" s="415">
        <v>58.4</v>
      </c>
      <c r="G129" s="415">
        <v>58</v>
      </c>
      <c r="H129" s="415">
        <v>57.6</v>
      </c>
      <c r="I129" s="415">
        <v>57.3</v>
      </c>
      <c r="J129" s="415">
        <v>57</v>
      </c>
      <c r="K129" s="415">
        <v>56.7</v>
      </c>
    </row>
    <row r="130" ht="12.75" customHeight="1" spans="1:11" x14ac:dyDescent="0.25">
      <c r="A130" s="220">
        <v>31</v>
      </c>
      <c r="B130" s="415">
        <v>59.7</v>
      </c>
      <c r="C130" s="415">
        <v>59.2</v>
      </c>
      <c r="D130" s="415">
        <v>58.7</v>
      </c>
      <c r="E130" s="415">
        <v>58.2</v>
      </c>
      <c r="F130" s="415">
        <v>57.8</v>
      </c>
      <c r="G130" s="415">
        <v>57.4</v>
      </c>
      <c r="H130" s="415">
        <v>57</v>
      </c>
      <c r="I130" s="415">
        <v>56.6</v>
      </c>
      <c r="J130" s="415">
        <v>56.3</v>
      </c>
      <c r="K130" s="415">
        <v>56</v>
      </c>
    </row>
    <row r="131" ht="12.75" customHeight="1" spans="1:11" x14ac:dyDescent="0.25">
      <c r="A131" s="220">
        <v>32</v>
      </c>
      <c r="B131" s="415">
        <v>59.2</v>
      </c>
      <c r="C131" s="415">
        <v>58.7</v>
      </c>
      <c r="D131" s="415">
        <v>58.2</v>
      </c>
      <c r="E131" s="415">
        <v>57.7</v>
      </c>
      <c r="F131" s="415">
        <v>57.2</v>
      </c>
      <c r="G131" s="415">
        <v>56.8</v>
      </c>
      <c r="H131" s="415">
        <v>56.4</v>
      </c>
      <c r="I131" s="415">
        <v>56</v>
      </c>
      <c r="J131" s="415">
        <v>55.6</v>
      </c>
      <c r="K131" s="415">
        <v>55.3</v>
      </c>
    </row>
    <row r="132" ht="12.75" customHeight="1" spans="1:11" x14ac:dyDescent="0.25">
      <c r="A132" s="220">
        <v>33</v>
      </c>
      <c r="B132" s="415">
        <v>58.8</v>
      </c>
      <c r="C132" s="415">
        <v>58.2</v>
      </c>
      <c r="D132" s="415">
        <v>57.7</v>
      </c>
      <c r="E132" s="415">
        <v>57.2</v>
      </c>
      <c r="F132" s="415">
        <v>56.7</v>
      </c>
      <c r="G132" s="415">
        <v>56.2</v>
      </c>
      <c r="H132" s="415">
        <v>55.8</v>
      </c>
      <c r="I132" s="415">
        <v>55.4</v>
      </c>
      <c r="J132" s="415">
        <v>55</v>
      </c>
      <c r="K132" s="415">
        <v>54.7</v>
      </c>
    </row>
    <row r="133" ht="12.75" customHeight="1" spans="1:11" x14ac:dyDescent="0.25">
      <c r="A133" s="220">
        <v>34</v>
      </c>
      <c r="B133" s="415">
        <v>58.4</v>
      </c>
      <c r="C133" s="415">
        <v>57.8</v>
      </c>
      <c r="D133" s="415">
        <v>57.2</v>
      </c>
      <c r="E133" s="415">
        <v>56.7</v>
      </c>
      <c r="F133" s="415">
        <v>56.2</v>
      </c>
      <c r="G133" s="415">
        <v>55.7</v>
      </c>
      <c r="H133" s="415">
        <v>55.3</v>
      </c>
      <c r="I133" s="415">
        <v>54.8</v>
      </c>
      <c r="J133" s="415">
        <v>54.4</v>
      </c>
      <c r="K133" s="415">
        <v>54</v>
      </c>
    </row>
    <row r="134" ht="12.75" customHeight="1" spans="1:11" x14ac:dyDescent="0.25">
      <c r="A134" s="220">
        <v>35</v>
      </c>
      <c r="B134" s="415">
        <v>58</v>
      </c>
      <c r="C134" s="415">
        <v>57.4</v>
      </c>
      <c r="D134" s="415">
        <v>56.8</v>
      </c>
      <c r="E134" s="415">
        <v>56.2</v>
      </c>
      <c r="F134" s="415">
        <v>55.7</v>
      </c>
      <c r="G134" s="415">
        <v>55.2</v>
      </c>
      <c r="H134" s="415">
        <v>54.7</v>
      </c>
      <c r="I134" s="415">
        <v>54.3</v>
      </c>
      <c r="J134" s="415">
        <v>53.8</v>
      </c>
      <c r="K134" s="415">
        <v>53.4</v>
      </c>
    </row>
    <row r="135" ht="12.75" customHeight="1" spans="1:11" x14ac:dyDescent="0.25">
      <c r="A135" s="220">
        <v>36</v>
      </c>
      <c r="B135" s="415">
        <v>57.6</v>
      </c>
      <c r="C135" s="415">
        <v>57</v>
      </c>
      <c r="D135" s="415">
        <v>56.4</v>
      </c>
      <c r="E135" s="415">
        <v>55.8</v>
      </c>
      <c r="F135" s="415">
        <v>55.3</v>
      </c>
      <c r="G135" s="415">
        <v>54.7</v>
      </c>
      <c r="H135" s="415">
        <v>54.2</v>
      </c>
      <c r="I135" s="415">
        <v>53.7</v>
      </c>
      <c r="J135" s="415">
        <v>53.3</v>
      </c>
      <c r="K135" s="415">
        <v>52.8</v>
      </c>
    </row>
    <row r="136" ht="12.75" customHeight="1" spans="1:11" x14ac:dyDescent="0.25">
      <c r="A136" s="220">
        <v>37</v>
      </c>
      <c r="B136" s="415">
        <v>57.3</v>
      </c>
      <c r="C136" s="415">
        <v>56.6</v>
      </c>
      <c r="D136" s="415">
        <v>56</v>
      </c>
      <c r="E136" s="415">
        <v>55.4</v>
      </c>
      <c r="F136" s="415">
        <v>54.8</v>
      </c>
      <c r="G136" s="415">
        <v>54.3</v>
      </c>
      <c r="H136" s="415">
        <v>53.7</v>
      </c>
      <c r="I136" s="415">
        <v>53.2</v>
      </c>
      <c r="J136" s="415">
        <v>52.7</v>
      </c>
      <c r="K136" s="415">
        <v>52.3</v>
      </c>
    </row>
    <row r="137" ht="12.75" customHeight="1" spans="1:11" x14ac:dyDescent="0.25">
      <c r="A137" s="220">
        <v>38</v>
      </c>
      <c r="B137" s="415">
        <v>57</v>
      </c>
      <c r="C137" s="415">
        <v>56.3</v>
      </c>
      <c r="D137" s="415">
        <v>55.6</v>
      </c>
      <c r="E137" s="415">
        <v>55</v>
      </c>
      <c r="F137" s="415">
        <v>54.4</v>
      </c>
      <c r="G137" s="415">
        <v>53.8</v>
      </c>
      <c r="H137" s="415">
        <v>53.3</v>
      </c>
      <c r="I137" s="415">
        <v>52.7</v>
      </c>
      <c r="J137" s="415">
        <v>52.2</v>
      </c>
      <c r="K137" s="415">
        <v>51.7</v>
      </c>
    </row>
    <row r="138" ht="12.75" customHeight="1" spans="1:11" x14ac:dyDescent="0.25">
      <c r="A138" s="220">
        <v>39</v>
      </c>
      <c r="B138" s="415">
        <v>56.7</v>
      </c>
      <c r="C138" s="415">
        <v>56</v>
      </c>
      <c r="D138" s="415">
        <v>55.3</v>
      </c>
      <c r="E138" s="415">
        <v>54.7</v>
      </c>
      <c r="F138" s="415">
        <v>54</v>
      </c>
      <c r="G138" s="415">
        <v>53.4</v>
      </c>
      <c r="H138" s="415">
        <v>52.8</v>
      </c>
      <c r="I138" s="415">
        <v>52.3</v>
      </c>
      <c r="J138" s="415">
        <v>51.7</v>
      </c>
      <c r="K138" s="415">
        <v>51.2</v>
      </c>
    </row>
    <row r="139" ht="12.75" customHeight="1" spans="1:11" x14ac:dyDescent="0.25">
      <c r="A139" s="220">
        <v>40</v>
      </c>
      <c r="B139" s="415">
        <v>56.4</v>
      </c>
      <c r="C139" s="415">
        <v>55.7</v>
      </c>
      <c r="D139" s="415">
        <v>55</v>
      </c>
      <c r="E139" s="415">
        <v>54.3</v>
      </c>
      <c r="F139" s="415">
        <v>53.7</v>
      </c>
      <c r="G139" s="415">
        <v>53</v>
      </c>
      <c r="H139" s="415">
        <v>52.4</v>
      </c>
      <c r="I139" s="415">
        <v>51.8</v>
      </c>
      <c r="J139" s="415">
        <v>51.3</v>
      </c>
      <c r="K139" s="415">
        <v>50.8</v>
      </c>
    </row>
    <row r="140" ht="12.75" customHeight="1" spans="1:11" x14ac:dyDescent="0.25">
      <c r="A140" s="220">
        <v>41</v>
      </c>
      <c r="B140" s="415">
        <v>56.1</v>
      </c>
      <c r="C140" s="415">
        <v>55.4</v>
      </c>
      <c r="D140" s="415">
        <v>54.7</v>
      </c>
      <c r="E140" s="415">
        <v>54</v>
      </c>
      <c r="F140" s="415">
        <v>53.3</v>
      </c>
      <c r="G140" s="415">
        <v>52.7</v>
      </c>
      <c r="H140" s="415">
        <v>52</v>
      </c>
      <c r="I140" s="415">
        <v>51.4</v>
      </c>
      <c r="J140" s="415">
        <v>50.9</v>
      </c>
      <c r="K140" s="415">
        <v>50.3</v>
      </c>
    </row>
    <row r="141" ht="12.75" customHeight="1" spans="1:11" x14ac:dyDescent="0.25">
      <c r="A141" s="220">
        <v>42</v>
      </c>
      <c r="B141" s="415">
        <v>55.9</v>
      </c>
      <c r="C141" s="415">
        <v>55.2</v>
      </c>
      <c r="D141" s="415">
        <v>54.4</v>
      </c>
      <c r="E141" s="415">
        <v>53.7</v>
      </c>
      <c r="F141" s="415">
        <v>53</v>
      </c>
      <c r="G141" s="415">
        <v>52.3</v>
      </c>
      <c r="H141" s="415">
        <v>51.7</v>
      </c>
      <c r="I141" s="415">
        <v>51.1</v>
      </c>
      <c r="J141" s="415">
        <v>50.4</v>
      </c>
      <c r="K141" s="415">
        <v>49.9</v>
      </c>
    </row>
    <row r="142" ht="12.75" customHeight="1" spans="1:11" x14ac:dyDescent="0.25">
      <c r="A142" s="220">
        <v>43</v>
      </c>
      <c r="B142" s="415">
        <v>55.7</v>
      </c>
      <c r="C142" s="415">
        <v>54.9</v>
      </c>
      <c r="D142" s="415">
        <v>54.2</v>
      </c>
      <c r="E142" s="415">
        <v>53.4</v>
      </c>
      <c r="F142" s="415">
        <v>52.7</v>
      </c>
      <c r="G142" s="415">
        <v>52</v>
      </c>
      <c r="H142" s="415">
        <v>51.3</v>
      </c>
      <c r="I142" s="415">
        <v>50.7</v>
      </c>
      <c r="J142" s="415">
        <v>50.1</v>
      </c>
      <c r="K142" s="415">
        <v>49.5</v>
      </c>
    </row>
    <row r="143" ht="12.75" customHeight="1" spans="1:11" x14ac:dyDescent="0.25">
      <c r="A143" s="220">
        <v>44</v>
      </c>
      <c r="B143" s="415">
        <v>55.5</v>
      </c>
      <c r="C143" s="415">
        <v>54.7</v>
      </c>
      <c r="D143" s="415">
        <v>53.9</v>
      </c>
      <c r="E143" s="415">
        <v>53.2</v>
      </c>
      <c r="F143" s="415">
        <v>52.4</v>
      </c>
      <c r="G143" s="415">
        <v>51.7</v>
      </c>
      <c r="H143" s="415">
        <v>51</v>
      </c>
      <c r="I143" s="415">
        <v>50.4</v>
      </c>
      <c r="J143" s="415">
        <v>49.7</v>
      </c>
      <c r="K143" s="415">
        <v>49.1</v>
      </c>
    </row>
    <row r="144" ht="12.75" customHeight="1" spans="1:11" x14ac:dyDescent="0.25">
      <c r="A144" s="220">
        <v>45</v>
      </c>
      <c r="B144" s="415">
        <v>55.3</v>
      </c>
      <c r="C144" s="415">
        <v>54.5</v>
      </c>
      <c r="D144" s="415">
        <v>53.7</v>
      </c>
      <c r="E144" s="415">
        <v>52.9</v>
      </c>
      <c r="F144" s="415">
        <v>52.2</v>
      </c>
      <c r="G144" s="415">
        <v>51.5</v>
      </c>
      <c r="H144" s="415">
        <v>50.7</v>
      </c>
      <c r="I144" s="415">
        <v>50</v>
      </c>
      <c r="J144" s="415">
        <v>49.4</v>
      </c>
      <c r="K144" s="415">
        <v>48.7</v>
      </c>
    </row>
    <row r="145" ht="12.75" customHeight="1" spans="1:11" x14ac:dyDescent="0.25">
      <c r="A145" s="220">
        <v>46</v>
      </c>
      <c r="B145" s="415">
        <v>55.1</v>
      </c>
      <c r="C145" s="415">
        <v>54.3</v>
      </c>
      <c r="D145" s="415">
        <v>53.5</v>
      </c>
      <c r="E145" s="415">
        <v>52.7</v>
      </c>
      <c r="F145" s="415">
        <v>52</v>
      </c>
      <c r="G145" s="415">
        <v>51.2</v>
      </c>
      <c r="H145" s="415">
        <v>50.5</v>
      </c>
      <c r="I145" s="415">
        <v>49.8</v>
      </c>
      <c r="J145" s="415">
        <v>49.1</v>
      </c>
      <c r="K145" s="415">
        <v>48.4</v>
      </c>
    </row>
    <row r="146" ht="12.75" customHeight="1" spans="1:11" x14ac:dyDescent="0.25">
      <c r="A146" s="220">
        <v>47</v>
      </c>
      <c r="B146" s="415">
        <v>55</v>
      </c>
      <c r="C146" s="415">
        <v>54.1</v>
      </c>
      <c r="D146" s="415">
        <v>53.3</v>
      </c>
      <c r="E146" s="415">
        <v>52.5</v>
      </c>
      <c r="F146" s="415">
        <v>51.7</v>
      </c>
      <c r="G146" s="415">
        <v>51</v>
      </c>
      <c r="H146" s="415">
        <v>50.2</v>
      </c>
      <c r="I146" s="415">
        <v>49.5</v>
      </c>
      <c r="J146" s="415">
        <v>48.8</v>
      </c>
      <c r="K146" s="415">
        <v>48.1</v>
      </c>
    </row>
    <row r="147" ht="12.75" customHeight="1" spans="1:11" x14ac:dyDescent="0.25">
      <c r="A147" s="220">
        <v>48</v>
      </c>
      <c r="B147" s="415">
        <v>54.8</v>
      </c>
      <c r="C147" s="415">
        <v>54</v>
      </c>
      <c r="D147" s="415">
        <v>53.2</v>
      </c>
      <c r="E147" s="415">
        <v>52.3</v>
      </c>
      <c r="F147" s="415">
        <v>51.5</v>
      </c>
      <c r="G147" s="415">
        <v>50.8</v>
      </c>
      <c r="H147" s="415">
        <v>50</v>
      </c>
      <c r="I147" s="415">
        <v>49.2</v>
      </c>
      <c r="J147" s="415">
        <v>48.5</v>
      </c>
      <c r="K147" s="415">
        <v>47.8</v>
      </c>
    </row>
    <row r="148" ht="12.75" customHeight="1" spans="1:11" x14ac:dyDescent="0.25">
      <c r="A148" s="220">
        <v>49</v>
      </c>
      <c r="B148" s="415">
        <v>54.7</v>
      </c>
      <c r="C148" s="415">
        <v>53.8</v>
      </c>
      <c r="D148" s="415">
        <v>53</v>
      </c>
      <c r="E148" s="415">
        <v>52.2</v>
      </c>
      <c r="F148" s="415">
        <v>51.4</v>
      </c>
      <c r="G148" s="415">
        <v>50.6</v>
      </c>
      <c r="H148" s="415">
        <v>49.8</v>
      </c>
      <c r="I148" s="415">
        <v>49</v>
      </c>
      <c r="J148" s="415">
        <v>48.2</v>
      </c>
      <c r="K148" s="415">
        <v>47.5</v>
      </c>
    </row>
    <row r="149" ht="12.75" customHeight="1" spans="1:11" x14ac:dyDescent="0.25">
      <c r="A149" s="220">
        <v>50</v>
      </c>
      <c r="B149" s="415">
        <v>54.6</v>
      </c>
      <c r="C149" s="415">
        <v>53.7</v>
      </c>
      <c r="D149" s="415">
        <v>52.9</v>
      </c>
      <c r="E149" s="415">
        <v>52</v>
      </c>
      <c r="F149" s="415">
        <v>51.2</v>
      </c>
      <c r="G149" s="415">
        <v>50.4</v>
      </c>
      <c r="H149" s="415">
        <v>49.6</v>
      </c>
      <c r="I149" s="415">
        <v>48.8</v>
      </c>
      <c r="J149" s="415">
        <v>48</v>
      </c>
      <c r="K149" s="415">
        <v>47.3</v>
      </c>
    </row>
    <row r="150" ht="12.75" customHeight="1" spans="1:11" x14ac:dyDescent="0.25">
      <c r="A150" s="220">
        <v>51</v>
      </c>
      <c r="B150" s="415">
        <v>54.5</v>
      </c>
      <c r="C150" s="415">
        <v>53.6</v>
      </c>
      <c r="D150" s="415">
        <v>52.7</v>
      </c>
      <c r="E150" s="415">
        <v>51.9</v>
      </c>
      <c r="F150" s="415">
        <v>51</v>
      </c>
      <c r="G150" s="415">
        <v>50.2</v>
      </c>
      <c r="H150" s="415">
        <v>49.4</v>
      </c>
      <c r="I150" s="415">
        <v>48.6</v>
      </c>
      <c r="J150" s="415">
        <v>47.8</v>
      </c>
      <c r="K150" s="415">
        <v>47</v>
      </c>
    </row>
    <row r="151" ht="12.75" customHeight="1" spans="1:11" x14ac:dyDescent="0.25">
      <c r="A151" s="220">
        <v>52</v>
      </c>
      <c r="B151" s="415">
        <v>54.4</v>
      </c>
      <c r="C151" s="415">
        <v>53.5</v>
      </c>
      <c r="D151" s="415">
        <v>52.6</v>
      </c>
      <c r="E151" s="415">
        <v>51.7</v>
      </c>
      <c r="F151" s="415">
        <v>50.9</v>
      </c>
      <c r="G151" s="415">
        <v>50</v>
      </c>
      <c r="H151" s="415">
        <v>49.2</v>
      </c>
      <c r="I151" s="415">
        <v>48.4</v>
      </c>
      <c r="J151" s="415">
        <v>47.6</v>
      </c>
      <c r="K151" s="415">
        <v>46.8</v>
      </c>
    </row>
    <row r="152" ht="12.75" customHeight="1" spans="1:11" x14ac:dyDescent="0.25">
      <c r="A152" s="220">
        <v>53</v>
      </c>
      <c r="B152" s="415">
        <v>54.3</v>
      </c>
      <c r="C152" s="415">
        <v>53.4</v>
      </c>
      <c r="D152" s="415">
        <v>52.5</v>
      </c>
      <c r="E152" s="415">
        <v>51.6</v>
      </c>
      <c r="F152" s="415">
        <v>50.8</v>
      </c>
      <c r="G152" s="415">
        <v>49.9</v>
      </c>
      <c r="H152" s="415">
        <v>49.1</v>
      </c>
      <c r="I152" s="415">
        <v>48.2</v>
      </c>
      <c r="J152" s="415">
        <v>47.4</v>
      </c>
      <c r="K152" s="415">
        <v>46.6</v>
      </c>
    </row>
    <row r="153" ht="12.75" customHeight="1" spans="1:11" x14ac:dyDescent="0.25">
      <c r="A153" s="220">
        <v>54</v>
      </c>
      <c r="B153" s="415">
        <v>54.2</v>
      </c>
      <c r="C153" s="415">
        <v>53.3</v>
      </c>
      <c r="D153" s="415">
        <v>52.4</v>
      </c>
      <c r="E153" s="415">
        <v>51.5</v>
      </c>
      <c r="F153" s="415">
        <v>50.6</v>
      </c>
      <c r="G153" s="415">
        <v>49.8</v>
      </c>
      <c r="H153" s="415">
        <v>48.9</v>
      </c>
      <c r="I153" s="415">
        <v>48.1</v>
      </c>
      <c r="J153" s="415">
        <v>47.2</v>
      </c>
      <c r="K153" s="415">
        <v>46.4</v>
      </c>
    </row>
    <row r="154" ht="12.75" customHeight="1" spans="1:11" x14ac:dyDescent="0.25">
      <c r="A154" s="220">
        <v>55</v>
      </c>
      <c r="B154" s="415">
        <v>54.1</v>
      </c>
      <c r="C154" s="415">
        <v>53.2</v>
      </c>
      <c r="D154" s="415">
        <v>52.3</v>
      </c>
      <c r="E154" s="415">
        <v>51.4</v>
      </c>
      <c r="F154" s="415">
        <v>50.5</v>
      </c>
      <c r="G154" s="415">
        <v>49.7</v>
      </c>
      <c r="H154" s="415">
        <v>48.8</v>
      </c>
      <c r="I154" s="415">
        <v>47.9</v>
      </c>
      <c r="J154" s="415">
        <v>47.1</v>
      </c>
      <c r="K154" s="415">
        <v>46.3</v>
      </c>
    </row>
    <row r="155" ht="12.75" customHeight="1" spans="1:11" x14ac:dyDescent="0.25">
      <c r="A155" s="220">
        <v>56</v>
      </c>
      <c r="B155" s="415">
        <v>54</v>
      </c>
      <c r="C155" s="415">
        <v>53.1</v>
      </c>
      <c r="D155" s="415">
        <v>52.2</v>
      </c>
      <c r="E155" s="415">
        <v>51.3</v>
      </c>
      <c r="F155" s="415">
        <v>50.4</v>
      </c>
      <c r="G155" s="415">
        <v>49.5</v>
      </c>
      <c r="H155" s="415">
        <v>48.7</v>
      </c>
      <c r="I155" s="415">
        <v>47.8</v>
      </c>
      <c r="J155" s="415">
        <v>47</v>
      </c>
      <c r="K155" s="415">
        <v>46.1</v>
      </c>
    </row>
    <row r="156" ht="12.75" customHeight="1" spans="1:11" x14ac:dyDescent="0.25">
      <c r="A156" s="220">
        <v>57</v>
      </c>
      <c r="B156" s="415">
        <v>54</v>
      </c>
      <c r="C156" s="415">
        <v>53</v>
      </c>
      <c r="D156" s="415">
        <v>52.1</v>
      </c>
      <c r="E156" s="415">
        <v>51.2</v>
      </c>
      <c r="F156" s="415">
        <v>50.3</v>
      </c>
      <c r="G156" s="415">
        <v>49.4</v>
      </c>
      <c r="H156" s="415">
        <v>48.6</v>
      </c>
      <c r="I156" s="415">
        <v>47.7</v>
      </c>
      <c r="J156" s="415">
        <v>46.8</v>
      </c>
      <c r="K156" s="415">
        <v>46</v>
      </c>
    </row>
    <row r="157" ht="12.75" customHeight="1" spans="1:11" x14ac:dyDescent="0.25">
      <c r="A157" s="220">
        <v>58</v>
      </c>
      <c r="B157" s="415">
        <v>53.9</v>
      </c>
      <c r="C157" s="415">
        <v>53</v>
      </c>
      <c r="D157" s="415">
        <v>52.1</v>
      </c>
      <c r="E157" s="415">
        <v>51.2</v>
      </c>
      <c r="F157" s="415">
        <v>50.3</v>
      </c>
      <c r="G157" s="415">
        <v>49.4</v>
      </c>
      <c r="H157" s="415">
        <v>48.5</v>
      </c>
      <c r="I157" s="415">
        <v>47.6</v>
      </c>
      <c r="J157" s="415">
        <v>46.7</v>
      </c>
      <c r="K157" s="415">
        <v>45.8</v>
      </c>
    </row>
    <row r="158" ht="12.75" customHeight="1" spans="1:11" x14ac:dyDescent="0.25">
      <c r="A158" s="220">
        <v>59</v>
      </c>
      <c r="B158" s="415">
        <v>53.8</v>
      </c>
      <c r="C158" s="415">
        <v>52.9</v>
      </c>
      <c r="D158" s="415">
        <v>52</v>
      </c>
      <c r="E158" s="415">
        <v>51.1</v>
      </c>
      <c r="F158" s="415">
        <v>50.2</v>
      </c>
      <c r="G158" s="415">
        <v>49.3</v>
      </c>
      <c r="H158" s="415">
        <v>48.4</v>
      </c>
      <c r="I158" s="415">
        <v>47.5</v>
      </c>
      <c r="J158" s="415">
        <v>46.6</v>
      </c>
      <c r="K158" s="415">
        <v>45.7</v>
      </c>
    </row>
    <row r="159" ht="12.75" customHeight="1" spans="1:11" x14ac:dyDescent="0.25">
      <c r="A159" s="220">
        <v>60</v>
      </c>
      <c r="B159" s="415">
        <v>53.8</v>
      </c>
      <c r="C159" s="415">
        <v>52.9</v>
      </c>
      <c r="D159" s="415">
        <v>51.9</v>
      </c>
      <c r="E159" s="415">
        <v>51</v>
      </c>
      <c r="F159" s="415">
        <v>50.1</v>
      </c>
      <c r="G159" s="415">
        <v>49.2</v>
      </c>
      <c r="H159" s="415">
        <v>48.3</v>
      </c>
      <c r="I159" s="415">
        <v>47.4</v>
      </c>
      <c r="J159" s="415">
        <v>46.5</v>
      </c>
      <c r="K159" s="415">
        <v>45.6</v>
      </c>
    </row>
    <row r="160" ht="12.75" customHeight="1" spans="1:11" x14ac:dyDescent="0.25">
      <c r="A160" s="220">
        <v>61</v>
      </c>
      <c r="B160" s="415">
        <v>53.8</v>
      </c>
      <c r="C160" s="415">
        <v>52.8</v>
      </c>
      <c r="D160" s="415">
        <v>51.9</v>
      </c>
      <c r="E160" s="415">
        <v>51</v>
      </c>
      <c r="F160" s="415">
        <v>50</v>
      </c>
      <c r="G160" s="415">
        <v>49.1</v>
      </c>
      <c r="H160" s="415">
        <v>48.2</v>
      </c>
      <c r="I160" s="415">
        <v>47.3</v>
      </c>
      <c r="J160" s="415">
        <v>46.4</v>
      </c>
      <c r="K160" s="415">
        <v>45.5</v>
      </c>
    </row>
    <row r="161" ht="12.75" customHeight="1" spans="1:11" x14ac:dyDescent="0.25">
      <c r="A161" s="220">
        <v>62</v>
      </c>
      <c r="B161" s="415">
        <v>53.7</v>
      </c>
      <c r="C161" s="415">
        <v>52.8</v>
      </c>
      <c r="D161" s="415">
        <v>51.8</v>
      </c>
      <c r="E161" s="415">
        <v>50.9</v>
      </c>
      <c r="F161" s="415">
        <v>50</v>
      </c>
      <c r="G161" s="415">
        <v>49.1</v>
      </c>
      <c r="H161" s="415">
        <v>48.1</v>
      </c>
      <c r="I161" s="415">
        <v>47.2</v>
      </c>
      <c r="J161" s="415">
        <v>46.3</v>
      </c>
      <c r="K161" s="415">
        <v>45.4</v>
      </c>
    </row>
    <row r="162" ht="12.75" customHeight="1" spans="1:11" x14ac:dyDescent="0.25">
      <c r="A162" s="220">
        <v>63</v>
      </c>
      <c r="B162" s="415">
        <v>53.7</v>
      </c>
      <c r="C162" s="415">
        <v>52.7</v>
      </c>
      <c r="D162" s="415">
        <v>51.8</v>
      </c>
      <c r="E162" s="415">
        <v>50.9</v>
      </c>
      <c r="F162" s="415">
        <v>49.9</v>
      </c>
      <c r="G162" s="415">
        <v>49</v>
      </c>
      <c r="H162" s="415">
        <v>48.1</v>
      </c>
      <c r="I162" s="415">
        <v>47.2</v>
      </c>
      <c r="J162" s="415">
        <v>46.3</v>
      </c>
      <c r="K162" s="415">
        <v>45.3</v>
      </c>
    </row>
    <row r="163" ht="12.75" customHeight="1" spans="1:11" x14ac:dyDescent="0.25">
      <c r="A163" s="220">
        <v>64</v>
      </c>
      <c r="B163" s="415">
        <v>53.6</v>
      </c>
      <c r="C163" s="415">
        <v>52.7</v>
      </c>
      <c r="D163" s="415">
        <v>51.8</v>
      </c>
      <c r="E163" s="415">
        <v>50.8</v>
      </c>
      <c r="F163" s="415">
        <v>49.9</v>
      </c>
      <c r="G163" s="415">
        <v>48.9</v>
      </c>
      <c r="H163" s="415">
        <v>48</v>
      </c>
      <c r="I163" s="415">
        <v>47.1</v>
      </c>
      <c r="J163" s="415">
        <v>46.2</v>
      </c>
      <c r="K163" s="415">
        <v>45.3</v>
      </c>
    </row>
    <row r="164" ht="12.75" customHeight="1" spans="1:11" x14ac:dyDescent="0.25">
      <c r="A164" s="220">
        <v>65</v>
      </c>
      <c r="B164" s="415">
        <v>53.6</v>
      </c>
      <c r="C164" s="415">
        <v>52.7</v>
      </c>
      <c r="D164" s="415">
        <v>51.7</v>
      </c>
      <c r="E164" s="415">
        <v>50.8</v>
      </c>
      <c r="F164" s="415">
        <v>49.8</v>
      </c>
      <c r="G164" s="415">
        <v>48.9</v>
      </c>
      <c r="H164" s="415">
        <v>48</v>
      </c>
      <c r="I164" s="415">
        <v>47</v>
      </c>
      <c r="J164" s="415">
        <v>46.1</v>
      </c>
      <c r="K164" s="415">
        <v>45.2</v>
      </c>
    </row>
    <row r="165" ht="12.75" customHeight="1" spans="1:11" x14ac:dyDescent="0.25">
      <c r="A165" s="220">
        <v>66</v>
      </c>
      <c r="B165" s="415">
        <v>53.6</v>
      </c>
      <c r="C165" s="415">
        <v>52.6</v>
      </c>
      <c r="D165" s="415">
        <v>51.7</v>
      </c>
      <c r="E165" s="415">
        <v>50.7</v>
      </c>
      <c r="F165" s="415">
        <v>49.8</v>
      </c>
      <c r="G165" s="415">
        <v>48.9</v>
      </c>
      <c r="H165" s="415">
        <v>47.9</v>
      </c>
      <c r="I165" s="415">
        <v>47</v>
      </c>
      <c r="J165" s="415">
        <v>46.1</v>
      </c>
      <c r="K165" s="415">
        <v>45.1</v>
      </c>
    </row>
    <row r="166" ht="12.75" customHeight="1" spans="1:11" x14ac:dyDescent="0.25">
      <c r="A166" s="220">
        <v>67</v>
      </c>
      <c r="B166" s="415">
        <v>53.6</v>
      </c>
      <c r="C166" s="415">
        <v>52.6</v>
      </c>
      <c r="D166" s="415">
        <v>51.7</v>
      </c>
      <c r="E166" s="415">
        <v>50.7</v>
      </c>
      <c r="F166" s="415">
        <v>49.8</v>
      </c>
      <c r="G166" s="415">
        <v>48.8</v>
      </c>
      <c r="H166" s="415">
        <v>47.9</v>
      </c>
      <c r="I166" s="415">
        <v>46.9</v>
      </c>
      <c r="J166" s="415">
        <v>46</v>
      </c>
      <c r="K166" s="415">
        <v>45.1</v>
      </c>
    </row>
    <row r="167" ht="12.75" customHeight="1" spans="1:11" x14ac:dyDescent="0.25">
      <c r="A167" s="220">
        <v>68</v>
      </c>
      <c r="B167" s="415">
        <v>53.5</v>
      </c>
      <c r="C167" s="415">
        <v>52.6</v>
      </c>
      <c r="D167" s="415">
        <v>51.6</v>
      </c>
      <c r="E167" s="415">
        <v>50.7</v>
      </c>
      <c r="F167" s="415">
        <v>49.7</v>
      </c>
      <c r="G167" s="415">
        <v>48.8</v>
      </c>
      <c r="H167" s="415">
        <v>47.8</v>
      </c>
      <c r="I167" s="415">
        <v>46.9</v>
      </c>
      <c r="J167" s="415">
        <v>46</v>
      </c>
      <c r="K167" s="415">
        <v>45</v>
      </c>
    </row>
    <row r="168" ht="12.75" customHeight="1" spans="1:11" x14ac:dyDescent="0.25">
      <c r="A168" s="220">
        <v>69</v>
      </c>
      <c r="B168" s="415">
        <v>53.5</v>
      </c>
      <c r="C168" s="415">
        <v>52.6</v>
      </c>
      <c r="D168" s="415">
        <v>51.6</v>
      </c>
      <c r="E168" s="415">
        <v>50.6</v>
      </c>
      <c r="F168" s="415">
        <v>49.7</v>
      </c>
      <c r="G168" s="415">
        <v>48.7</v>
      </c>
      <c r="H168" s="415">
        <v>47.8</v>
      </c>
      <c r="I168" s="415">
        <v>46.9</v>
      </c>
      <c r="J168" s="415">
        <v>45.9</v>
      </c>
      <c r="K168" s="415">
        <v>45</v>
      </c>
    </row>
    <row r="169" ht="12.75" customHeight="1" spans="1:11" x14ac:dyDescent="0.25">
      <c r="A169" s="220">
        <v>70</v>
      </c>
      <c r="B169" s="415">
        <v>53.5</v>
      </c>
      <c r="C169" s="415">
        <v>52.5</v>
      </c>
      <c r="D169" s="415">
        <v>51.6</v>
      </c>
      <c r="E169" s="415">
        <v>50.6</v>
      </c>
      <c r="F169" s="415">
        <v>49.7</v>
      </c>
      <c r="G169" s="415">
        <v>48.7</v>
      </c>
      <c r="H169" s="415">
        <v>47.8</v>
      </c>
      <c r="I169" s="415">
        <v>46.8</v>
      </c>
      <c r="J169" s="415">
        <v>45.9</v>
      </c>
      <c r="K169" s="415">
        <v>44.9</v>
      </c>
    </row>
    <row r="170" ht="12.75" customHeight="1" spans="1:11" x14ac:dyDescent="0.25">
      <c r="A170" s="220">
        <v>71</v>
      </c>
      <c r="B170" s="415">
        <v>53.5</v>
      </c>
      <c r="C170" s="415">
        <v>52.5</v>
      </c>
      <c r="D170" s="415">
        <v>51.6</v>
      </c>
      <c r="E170" s="415">
        <v>50.6</v>
      </c>
      <c r="F170" s="415">
        <v>49.6</v>
      </c>
      <c r="G170" s="415">
        <v>48.7</v>
      </c>
      <c r="H170" s="415">
        <v>47.7</v>
      </c>
      <c r="I170" s="415">
        <v>46.8</v>
      </c>
      <c r="J170" s="415">
        <v>45.9</v>
      </c>
      <c r="K170" s="415">
        <v>44.9</v>
      </c>
    </row>
    <row r="171" ht="12.75" customHeight="1" spans="1:11" x14ac:dyDescent="0.25">
      <c r="A171" s="220">
        <v>72</v>
      </c>
      <c r="B171" s="415">
        <v>53.5</v>
      </c>
      <c r="C171" s="415">
        <v>52.5</v>
      </c>
      <c r="D171" s="415">
        <v>51.5</v>
      </c>
      <c r="E171" s="415">
        <v>50.6</v>
      </c>
      <c r="F171" s="415">
        <v>49.6</v>
      </c>
      <c r="G171" s="415">
        <v>48.7</v>
      </c>
      <c r="H171" s="415">
        <v>47.7</v>
      </c>
      <c r="I171" s="415">
        <v>46.8</v>
      </c>
      <c r="J171" s="415">
        <v>45.8</v>
      </c>
      <c r="K171" s="415">
        <v>44.9</v>
      </c>
    </row>
    <row r="172" ht="12.75" customHeight="1" spans="1:11" x14ac:dyDescent="0.25">
      <c r="A172" s="220">
        <v>73</v>
      </c>
      <c r="B172" s="415">
        <v>53.4</v>
      </c>
      <c r="C172" s="415">
        <v>52.5</v>
      </c>
      <c r="D172" s="415">
        <v>51.5</v>
      </c>
      <c r="E172" s="415">
        <v>50.6</v>
      </c>
      <c r="F172" s="415">
        <v>49.6</v>
      </c>
      <c r="G172" s="415">
        <v>48.6</v>
      </c>
      <c r="H172" s="415">
        <v>47.7</v>
      </c>
      <c r="I172" s="415">
        <v>46.7</v>
      </c>
      <c r="J172" s="415">
        <v>45.8</v>
      </c>
      <c r="K172" s="415">
        <v>44.8</v>
      </c>
    </row>
    <row r="173" ht="12.75" customHeight="1" spans="1:11" x14ac:dyDescent="0.25">
      <c r="A173" s="220">
        <v>74</v>
      </c>
      <c r="B173" s="415">
        <v>53.4</v>
      </c>
      <c r="C173" s="415">
        <v>52.5</v>
      </c>
      <c r="D173" s="415">
        <v>51.5</v>
      </c>
      <c r="E173" s="415">
        <v>50.5</v>
      </c>
      <c r="F173" s="415">
        <v>49.6</v>
      </c>
      <c r="G173" s="415">
        <v>48.6</v>
      </c>
      <c r="H173" s="415">
        <v>47.7</v>
      </c>
      <c r="I173" s="415">
        <v>46.7</v>
      </c>
      <c r="J173" s="415">
        <v>45.8</v>
      </c>
      <c r="K173" s="415">
        <v>44.8</v>
      </c>
    </row>
    <row r="174" ht="12.75" customHeight="1" spans="1:11" x14ac:dyDescent="0.25">
      <c r="A174" s="220">
        <v>75</v>
      </c>
      <c r="B174" s="415">
        <v>53.4</v>
      </c>
      <c r="C174" s="415">
        <v>52.5</v>
      </c>
      <c r="D174" s="415">
        <v>51.5</v>
      </c>
      <c r="E174" s="415">
        <v>50.5</v>
      </c>
      <c r="F174" s="415">
        <v>49.6</v>
      </c>
      <c r="G174" s="415">
        <v>48.6</v>
      </c>
      <c r="H174" s="415">
        <v>47.7</v>
      </c>
      <c r="I174" s="415">
        <v>46.7</v>
      </c>
      <c r="J174" s="415">
        <v>45.7</v>
      </c>
      <c r="K174" s="415">
        <v>44.8</v>
      </c>
    </row>
    <row r="175" ht="12.75" customHeight="1" spans="1:11" x14ac:dyDescent="0.25">
      <c r="A175" s="220">
        <v>76</v>
      </c>
      <c r="B175" s="415">
        <v>53.4</v>
      </c>
      <c r="C175" s="415">
        <v>52.4</v>
      </c>
      <c r="D175" s="415">
        <v>51.5</v>
      </c>
      <c r="E175" s="415">
        <v>50.5</v>
      </c>
      <c r="F175" s="415">
        <v>49.6</v>
      </c>
      <c r="G175" s="415">
        <v>48.6</v>
      </c>
      <c r="H175" s="415">
        <v>47.6</v>
      </c>
      <c r="I175" s="415">
        <v>46.7</v>
      </c>
      <c r="J175" s="415">
        <v>45.7</v>
      </c>
      <c r="K175" s="415">
        <v>44.8</v>
      </c>
    </row>
    <row r="176" ht="12.75" customHeight="1" spans="1:11" x14ac:dyDescent="0.25">
      <c r="A176" s="220">
        <v>77</v>
      </c>
      <c r="B176" s="415">
        <v>53.4</v>
      </c>
      <c r="C176" s="415">
        <v>52.4</v>
      </c>
      <c r="D176" s="415">
        <v>51.5</v>
      </c>
      <c r="E176" s="415">
        <v>50.5</v>
      </c>
      <c r="F176" s="415">
        <v>49.5</v>
      </c>
      <c r="G176" s="415">
        <v>48.6</v>
      </c>
      <c r="H176" s="415">
        <v>47.6</v>
      </c>
      <c r="I176" s="415">
        <v>46.7</v>
      </c>
      <c r="J176" s="415">
        <v>45.7</v>
      </c>
      <c r="K176" s="415">
        <v>44.8</v>
      </c>
    </row>
    <row r="177" ht="12.75" customHeight="1" spans="1:11" x14ac:dyDescent="0.25">
      <c r="A177" s="220">
        <v>78</v>
      </c>
      <c r="B177" s="415">
        <v>53.4</v>
      </c>
      <c r="C177" s="415">
        <v>52.4</v>
      </c>
      <c r="D177" s="415">
        <v>51.5</v>
      </c>
      <c r="E177" s="415">
        <v>50.5</v>
      </c>
      <c r="F177" s="415">
        <v>49.5</v>
      </c>
      <c r="G177" s="415">
        <v>48.6</v>
      </c>
      <c r="H177" s="415">
        <v>47.6</v>
      </c>
      <c r="I177" s="415">
        <v>46.6</v>
      </c>
      <c r="J177" s="415">
        <v>45.7</v>
      </c>
      <c r="K177" s="415">
        <v>44.7</v>
      </c>
    </row>
    <row r="178" ht="12.75" customHeight="1" spans="1:11" x14ac:dyDescent="0.25">
      <c r="A178" s="220">
        <v>79</v>
      </c>
      <c r="B178" s="415">
        <v>53.4</v>
      </c>
      <c r="C178" s="415">
        <v>52.4</v>
      </c>
      <c r="D178" s="415">
        <v>51.5</v>
      </c>
      <c r="E178" s="415">
        <v>50.5</v>
      </c>
      <c r="F178" s="415">
        <v>49.5</v>
      </c>
      <c r="G178" s="415">
        <v>48.6</v>
      </c>
      <c r="H178" s="415">
        <v>47.6</v>
      </c>
      <c r="I178" s="415">
        <v>46.6</v>
      </c>
      <c r="J178" s="415">
        <v>45.7</v>
      </c>
      <c r="K178" s="415">
        <v>44.7</v>
      </c>
    </row>
    <row r="179" ht="12.75" customHeight="1" spans="1:11" x14ac:dyDescent="0.25">
      <c r="A179" s="220">
        <v>80</v>
      </c>
      <c r="B179" s="415">
        <v>53.4</v>
      </c>
      <c r="C179" s="415">
        <v>52.4</v>
      </c>
      <c r="D179" s="415">
        <v>51.4</v>
      </c>
      <c r="E179" s="415">
        <v>50.5</v>
      </c>
      <c r="F179" s="415">
        <v>49.5</v>
      </c>
      <c r="G179" s="415">
        <v>48.5</v>
      </c>
      <c r="H179" s="415">
        <v>47.6</v>
      </c>
      <c r="I179" s="415">
        <v>46.6</v>
      </c>
      <c r="J179" s="415">
        <v>45.7</v>
      </c>
      <c r="K179" s="415">
        <v>44.7</v>
      </c>
    </row>
    <row r="180" ht="12.75" customHeight="1" spans="1:11" x14ac:dyDescent="0.25">
      <c r="A180" s="220">
        <v>81</v>
      </c>
      <c r="B180" s="415">
        <v>53.4</v>
      </c>
      <c r="C180" s="415">
        <v>52.4</v>
      </c>
      <c r="D180" s="415">
        <v>51.4</v>
      </c>
      <c r="E180" s="415">
        <v>50.5</v>
      </c>
      <c r="F180" s="415">
        <v>49.5</v>
      </c>
      <c r="G180" s="415">
        <v>48.5</v>
      </c>
      <c r="H180" s="415">
        <v>47.6</v>
      </c>
      <c r="I180" s="415">
        <v>46.6</v>
      </c>
      <c r="J180" s="415">
        <v>45.7</v>
      </c>
      <c r="K180" s="415">
        <v>44.7</v>
      </c>
    </row>
    <row r="181" ht="12.75" customHeight="1" spans="1:11" x14ac:dyDescent="0.25">
      <c r="A181" s="220">
        <v>82</v>
      </c>
      <c r="B181" s="415">
        <v>53.4</v>
      </c>
      <c r="C181" s="415">
        <v>52.4</v>
      </c>
      <c r="D181" s="415">
        <v>51.4</v>
      </c>
      <c r="E181" s="415">
        <v>50.5</v>
      </c>
      <c r="F181" s="415">
        <v>49.5</v>
      </c>
      <c r="G181" s="415">
        <v>48.5</v>
      </c>
      <c r="H181" s="415">
        <v>47.6</v>
      </c>
      <c r="I181" s="415">
        <v>46.6</v>
      </c>
      <c r="J181" s="415">
        <v>45.6</v>
      </c>
      <c r="K181" s="415">
        <v>44.7</v>
      </c>
    </row>
    <row r="182" ht="12.75" customHeight="1" spans="1:11" x14ac:dyDescent="0.25">
      <c r="A182" s="220">
        <v>83</v>
      </c>
      <c r="B182" s="415">
        <v>53.4</v>
      </c>
      <c r="C182" s="415">
        <v>52.4</v>
      </c>
      <c r="D182" s="415">
        <v>51.4</v>
      </c>
      <c r="E182" s="415">
        <v>50.5</v>
      </c>
      <c r="F182" s="415">
        <v>49.5</v>
      </c>
      <c r="G182" s="415">
        <v>48.5</v>
      </c>
      <c r="H182" s="415">
        <v>47.6</v>
      </c>
      <c r="I182" s="415">
        <v>46.6</v>
      </c>
      <c r="J182" s="415">
        <v>45.6</v>
      </c>
      <c r="K182" s="415">
        <v>44.7</v>
      </c>
    </row>
    <row r="183" ht="12.75" customHeight="1" spans="1:11" x14ac:dyDescent="0.25">
      <c r="A183" s="220">
        <v>84</v>
      </c>
      <c r="B183" s="415">
        <v>53.4</v>
      </c>
      <c r="C183" s="415">
        <v>52.4</v>
      </c>
      <c r="D183" s="415">
        <v>51.4</v>
      </c>
      <c r="E183" s="415">
        <v>50.5</v>
      </c>
      <c r="F183" s="415">
        <v>49.5</v>
      </c>
      <c r="G183" s="415">
        <v>48.5</v>
      </c>
      <c r="H183" s="415">
        <v>47.6</v>
      </c>
      <c r="I183" s="415">
        <v>46.6</v>
      </c>
      <c r="J183" s="415">
        <v>45.6</v>
      </c>
      <c r="K183" s="415">
        <v>44.7</v>
      </c>
    </row>
    <row r="184" ht="12.75" customHeight="1" spans="1:11" x14ac:dyDescent="0.25">
      <c r="A184" s="220">
        <v>85</v>
      </c>
      <c r="B184" s="415">
        <v>53.3</v>
      </c>
      <c r="C184" s="415">
        <v>52.4</v>
      </c>
      <c r="D184" s="415">
        <v>51.4</v>
      </c>
      <c r="E184" s="415">
        <v>50.4</v>
      </c>
      <c r="F184" s="415">
        <v>49.5</v>
      </c>
      <c r="G184" s="415">
        <v>48.5</v>
      </c>
      <c r="H184" s="415">
        <v>47.5</v>
      </c>
      <c r="I184" s="415">
        <v>46.6</v>
      </c>
      <c r="J184" s="415">
        <v>45.6</v>
      </c>
      <c r="K184" s="415">
        <v>44.7</v>
      </c>
    </row>
    <row r="185" ht="12.75" customHeight="1" spans="1:11" x14ac:dyDescent="0.25">
      <c r="A185" s="220">
        <v>86</v>
      </c>
      <c r="B185" s="415">
        <v>53.3</v>
      </c>
      <c r="C185" s="415">
        <v>52.4</v>
      </c>
      <c r="D185" s="415">
        <v>51.4</v>
      </c>
      <c r="E185" s="415">
        <v>50.4</v>
      </c>
      <c r="F185" s="415">
        <v>49.5</v>
      </c>
      <c r="G185" s="415">
        <v>48.5</v>
      </c>
      <c r="H185" s="415">
        <v>47.5</v>
      </c>
      <c r="I185" s="415">
        <v>46.6</v>
      </c>
      <c r="J185" s="415">
        <v>45.6</v>
      </c>
      <c r="K185" s="415">
        <v>44.6</v>
      </c>
    </row>
    <row r="186" ht="12.75" customHeight="1" spans="1:11" x14ac:dyDescent="0.25">
      <c r="A186" s="220">
        <v>87</v>
      </c>
      <c r="B186" s="415">
        <v>53.3</v>
      </c>
      <c r="C186" s="415">
        <v>52.4</v>
      </c>
      <c r="D186" s="415">
        <v>51.4</v>
      </c>
      <c r="E186" s="415">
        <v>50.4</v>
      </c>
      <c r="F186" s="415">
        <v>49.5</v>
      </c>
      <c r="G186" s="415">
        <v>48.5</v>
      </c>
      <c r="H186" s="415">
        <v>47.5</v>
      </c>
      <c r="I186" s="415">
        <v>46.6</v>
      </c>
      <c r="J186" s="415">
        <v>45.6</v>
      </c>
      <c r="K186" s="415">
        <v>44.6</v>
      </c>
    </row>
    <row r="187" ht="12.75" customHeight="1" spans="1:11" x14ac:dyDescent="0.25">
      <c r="A187" s="220">
        <v>88</v>
      </c>
      <c r="B187" s="415">
        <v>53.3</v>
      </c>
      <c r="C187" s="415">
        <v>52.4</v>
      </c>
      <c r="D187" s="415">
        <v>51.4</v>
      </c>
      <c r="E187" s="415">
        <v>50.4</v>
      </c>
      <c r="F187" s="415">
        <v>49.5</v>
      </c>
      <c r="G187" s="415">
        <v>48.5</v>
      </c>
      <c r="H187" s="415">
        <v>47.5</v>
      </c>
      <c r="I187" s="415">
        <v>46.6</v>
      </c>
      <c r="J187" s="415">
        <v>45.6</v>
      </c>
      <c r="K187" s="415">
        <v>44.6</v>
      </c>
    </row>
    <row r="188" ht="12.75" customHeight="1" spans="1:11" x14ac:dyDescent="0.25">
      <c r="A188" s="220">
        <v>89</v>
      </c>
      <c r="B188" s="415">
        <v>53.3</v>
      </c>
      <c r="C188" s="415">
        <v>52.4</v>
      </c>
      <c r="D188" s="415">
        <v>51.4</v>
      </c>
      <c r="E188" s="415">
        <v>50.4</v>
      </c>
      <c r="F188" s="415">
        <v>49.5</v>
      </c>
      <c r="G188" s="415">
        <v>48.5</v>
      </c>
      <c r="H188" s="415">
        <v>47.5</v>
      </c>
      <c r="I188" s="415">
        <v>46.6</v>
      </c>
      <c r="J188" s="415">
        <v>45.6</v>
      </c>
      <c r="K188" s="415">
        <v>44.6</v>
      </c>
    </row>
    <row r="189" ht="12.75" customHeight="1" spans="1:11" x14ac:dyDescent="0.25">
      <c r="A189" s="220">
        <v>90</v>
      </c>
      <c r="B189" s="415">
        <v>53.3</v>
      </c>
      <c r="C189" s="415">
        <v>52.4</v>
      </c>
      <c r="D189" s="415">
        <v>51.4</v>
      </c>
      <c r="E189" s="415">
        <v>50.4</v>
      </c>
      <c r="F189" s="415">
        <v>49.5</v>
      </c>
      <c r="G189" s="415">
        <v>48.5</v>
      </c>
      <c r="H189" s="415">
        <v>47.5</v>
      </c>
      <c r="I189" s="415">
        <v>46.6</v>
      </c>
      <c r="J189" s="415">
        <v>45.6</v>
      </c>
      <c r="K189" s="415">
        <v>44.6</v>
      </c>
    </row>
    <row r="190" ht="12.75" customHeight="1" spans="1:11" x14ac:dyDescent="0.25">
      <c r="A190" s="220">
        <v>91</v>
      </c>
      <c r="B190" s="415">
        <v>53.3</v>
      </c>
      <c r="C190" s="415">
        <v>52.4</v>
      </c>
      <c r="D190" s="415">
        <v>51.4</v>
      </c>
      <c r="E190" s="415">
        <v>50.4</v>
      </c>
      <c r="F190" s="415">
        <v>49.5</v>
      </c>
      <c r="G190" s="415">
        <v>48.5</v>
      </c>
      <c r="H190" s="415">
        <v>47.5</v>
      </c>
      <c r="I190" s="415">
        <v>46.6</v>
      </c>
      <c r="J190" s="415">
        <v>45.6</v>
      </c>
      <c r="K190" s="415">
        <v>44.6</v>
      </c>
    </row>
    <row r="191" ht="12.75" customHeight="1" spans="1:11" x14ac:dyDescent="0.25">
      <c r="A191" s="220">
        <v>92</v>
      </c>
      <c r="B191" s="415">
        <v>53.3</v>
      </c>
      <c r="C191" s="415">
        <v>52.4</v>
      </c>
      <c r="D191" s="415">
        <v>51.4</v>
      </c>
      <c r="E191" s="415">
        <v>50.4</v>
      </c>
      <c r="F191" s="415">
        <v>49.5</v>
      </c>
      <c r="G191" s="415">
        <v>48.5</v>
      </c>
      <c r="H191" s="415">
        <v>47.5</v>
      </c>
      <c r="I191" s="415">
        <v>46.6</v>
      </c>
      <c r="J191" s="415">
        <v>45.6</v>
      </c>
      <c r="K191" s="415">
        <v>44.6</v>
      </c>
    </row>
    <row r="192" ht="12.75" customHeight="1" spans="1:11" x14ac:dyDescent="0.25">
      <c r="A192" s="220">
        <v>93</v>
      </c>
      <c r="B192" s="415">
        <v>53.3</v>
      </c>
      <c r="C192" s="415">
        <v>52.4</v>
      </c>
      <c r="D192" s="415">
        <v>51.4</v>
      </c>
      <c r="E192" s="415">
        <v>50.4</v>
      </c>
      <c r="F192" s="415">
        <v>49.5</v>
      </c>
      <c r="G192" s="415">
        <v>48.5</v>
      </c>
      <c r="H192" s="415">
        <v>47.5</v>
      </c>
      <c r="I192" s="415">
        <v>46.6</v>
      </c>
      <c r="J192" s="415">
        <v>45.6</v>
      </c>
      <c r="K192" s="415">
        <v>44.6</v>
      </c>
    </row>
    <row r="193" ht="12.75" customHeight="1" spans="1:11" x14ac:dyDescent="0.25">
      <c r="A193" s="220">
        <v>94</v>
      </c>
      <c r="B193" s="415">
        <v>53.3</v>
      </c>
      <c r="C193" s="415">
        <v>52.4</v>
      </c>
      <c r="D193" s="415">
        <v>51.4</v>
      </c>
      <c r="E193" s="415">
        <v>50.4</v>
      </c>
      <c r="F193" s="415">
        <v>49.5</v>
      </c>
      <c r="G193" s="415">
        <v>48.5</v>
      </c>
      <c r="H193" s="415">
        <v>47.5</v>
      </c>
      <c r="I193" s="415">
        <v>46.6</v>
      </c>
      <c r="J193" s="415">
        <v>45.6</v>
      </c>
      <c r="K193" s="415">
        <v>44.6</v>
      </c>
    </row>
    <row r="194" ht="12.75" customHeight="1" spans="1:11" x14ac:dyDescent="0.25">
      <c r="A194" s="220">
        <v>95</v>
      </c>
      <c r="B194" s="415">
        <v>53.3</v>
      </c>
      <c r="C194" s="415">
        <v>52.4</v>
      </c>
      <c r="D194" s="415">
        <v>51.4</v>
      </c>
      <c r="E194" s="415">
        <v>50.4</v>
      </c>
      <c r="F194" s="415">
        <v>49.5</v>
      </c>
      <c r="G194" s="415">
        <v>48.5</v>
      </c>
      <c r="H194" s="415">
        <v>47.5</v>
      </c>
      <c r="I194" s="415">
        <v>46.5</v>
      </c>
      <c r="J194" s="415">
        <v>45.6</v>
      </c>
      <c r="K194" s="415">
        <v>44.6</v>
      </c>
    </row>
    <row r="195" ht="12.75" customHeight="1" spans="1:11" x14ac:dyDescent="0.25">
      <c r="A195" s="220">
        <v>96</v>
      </c>
      <c r="B195" s="415">
        <v>53.3</v>
      </c>
      <c r="C195" s="415">
        <v>52.4</v>
      </c>
      <c r="D195" s="415">
        <v>51.4</v>
      </c>
      <c r="E195" s="415">
        <v>50.4</v>
      </c>
      <c r="F195" s="415">
        <v>49.5</v>
      </c>
      <c r="G195" s="415">
        <v>48.5</v>
      </c>
      <c r="H195" s="415">
        <v>47.5</v>
      </c>
      <c r="I195" s="415">
        <v>46.5</v>
      </c>
      <c r="J195" s="415">
        <v>45.6</v>
      </c>
      <c r="K195" s="415">
        <v>44.6</v>
      </c>
    </row>
    <row r="196" ht="12.75" customHeight="1" spans="1:11" x14ac:dyDescent="0.25">
      <c r="A196" s="220">
        <v>97</v>
      </c>
      <c r="B196" s="415">
        <v>53.3</v>
      </c>
      <c r="C196" s="415">
        <v>52.4</v>
      </c>
      <c r="D196" s="415">
        <v>51.4</v>
      </c>
      <c r="E196" s="415">
        <v>50.4</v>
      </c>
      <c r="F196" s="415">
        <v>49.5</v>
      </c>
      <c r="G196" s="415">
        <v>48.5</v>
      </c>
      <c r="H196" s="415">
        <v>47.5</v>
      </c>
      <c r="I196" s="415">
        <v>46.5</v>
      </c>
      <c r="J196" s="415">
        <v>45.6</v>
      </c>
      <c r="K196" s="415">
        <v>44.6</v>
      </c>
    </row>
    <row r="197" ht="12.75" customHeight="1" spans="1:11" x14ac:dyDescent="0.25">
      <c r="A197" s="220">
        <v>98</v>
      </c>
      <c r="B197" s="415">
        <v>53.3</v>
      </c>
      <c r="C197" s="415">
        <v>52.4</v>
      </c>
      <c r="D197" s="415">
        <v>51.4</v>
      </c>
      <c r="E197" s="415">
        <v>50.4</v>
      </c>
      <c r="F197" s="415">
        <v>49.5</v>
      </c>
      <c r="G197" s="415">
        <v>48.5</v>
      </c>
      <c r="H197" s="415">
        <v>47.5</v>
      </c>
      <c r="I197" s="415">
        <v>46.5</v>
      </c>
      <c r="J197" s="415">
        <v>45.6</v>
      </c>
      <c r="K197" s="415">
        <v>44.6</v>
      </c>
    </row>
    <row r="198" ht="12.75" customHeight="1" spans="1:11" x14ac:dyDescent="0.25">
      <c r="A198" s="220">
        <v>99</v>
      </c>
      <c r="B198" s="415">
        <v>53.3</v>
      </c>
      <c r="C198" s="415">
        <v>52.4</v>
      </c>
      <c r="D198" s="415">
        <v>51.4</v>
      </c>
      <c r="E198" s="415">
        <v>50.4</v>
      </c>
      <c r="F198" s="415">
        <v>49.5</v>
      </c>
      <c r="G198" s="415">
        <v>48.5</v>
      </c>
      <c r="H198" s="415">
        <v>47.5</v>
      </c>
      <c r="I198" s="415">
        <v>46.5</v>
      </c>
      <c r="J198" s="415">
        <v>45.6</v>
      </c>
      <c r="K198" s="415">
        <v>44.6</v>
      </c>
    </row>
    <row r="199" ht="12.75" customHeight="1" spans="1:11" x14ac:dyDescent="0.25">
      <c r="A199" s="220">
        <v>100</v>
      </c>
      <c r="B199" s="415">
        <v>53.3</v>
      </c>
      <c r="C199" s="415">
        <v>52.4</v>
      </c>
      <c r="D199" s="415">
        <v>51.4</v>
      </c>
      <c r="E199" s="415">
        <v>50.4</v>
      </c>
      <c r="F199" s="415">
        <v>49.5</v>
      </c>
      <c r="G199" s="415">
        <v>48.5</v>
      </c>
      <c r="H199" s="415">
        <v>47.5</v>
      </c>
      <c r="I199" s="415">
        <v>46.5</v>
      </c>
      <c r="J199" s="415">
        <v>45.6</v>
      </c>
      <c r="K199" s="415">
        <v>44.6</v>
      </c>
    </row>
    <row r="200" ht="12.75" customHeight="1" spans="1:11" x14ac:dyDescent="0.25">
      <c r="A200" s="220">
        <v>101</v>
      </c>
      <c r="B200" s="415">
        <v>53.3</v>
      </c>
      <c r="C200" s="415">
        <v>52.4</v>
      </c>
      <c r="D200" s="415">
        <v>51.4</v>
      </c>
      <c r="E200" s="415">
        <v>50.4</v>
      </c>
      <c r="F200" s="415">
        <v>49.5</v>
      </c>
      <c r="G200" s="415">
        <v>48.5</v>
      </c>
      <c r="H200" s="415">
        <v>47.5</v>
      </c>
      <c r="I200" s="415">
        <v>46.5</v>
      </c>
      <c r="J200" s="415">
        <v>45.6</v>
      </c>
      <c r="K200" s="415">
        <v>44.6</v>
      </c>
    </row>
    <row r="201" ht="12.75" customHeight="1" spans="1:11" x14ac:dyDescent="0.25">
      <c r="A201" s="220">
        <v>102</v>
      </c>
      <c r="B201" s="415">
        <v>53.3</v>
      </c>
      <c r="C201" s="415">
        <v>52.4</v>
      </c>
      <c r="D201" s="415">
        <v>51.4</v>
      </c>
      <c r="E201" s="415">
        <v>50.4</v>
      </c>
      <c r="F201" s="415">
        <v>49.5</v>
      </c>
      <c r="G201" s="415">
        <v>48.5</v>
      </c>
      <c r="H201" s="415">
        <v>47.5</v>
      </c>
      <c r="I201" s="415">
        <v>46.5</v>
      </c>
      <c r="J201" s="415">
        <v>45.6</v>
      </c>
      <c r="K201" s="415">
        <v>44.6</v>
      </c>
    </row>
    <row r="202" ht="12.75" customHeight="1" spans="1:11" x14ac:dyDescent="0.25">
      <c r="A202" s="220">
        <v>103</v>
      </c>
      <c r="B202" s="415">
        <v>53.3</v>
      </c>
      <c r="C202" s="415">
        <v>52.4</v>
      </c>
      <c r="D202" s="415">
        <v>51.4</v>
      </c>
      <c r="E202" s="415">
        <v>50.4</v>
      </c>
      <c r="F202" s="415">
        <v>49.5</v>
      </c>
      <c r="G202" s="415">
        <v>48.5</v>
      </c>
      <c r="H202" s="415">
        <v>47.5</v>
      </c>
      <c r="I202" s="415">
        <v>46.5</v>
      </c>
      <c r="J202" s="415">
        <v>45.6</v>
      </c>
      <c r="K202" s="415">
        <v>44.6</v>
      </c>
    </row>
    <row r="203" ht="12.75" customHeight="1" spans="1:11" x14ac:dyDescent="0.25">
      <c r="A203" s="220">
        <v>104</v>
      </c>
      <c r="B203" s="415">
        <v>53.3</v>
      </c>
      <c r="C203" s="415">
        <v>52.4</v>
      </c>
      <c r="D203" s="415">
        <v>51.4</v>
      </c>
      <c r="E203" s="415">
        <v>50.4</v>
      </c>
      <c r="F203" s="415">
        <v>49.5</v>
      </c>
      <c r="G203" s="415">
        <v>48.5</v>
      </c>
      <c r="H203" s="415">
        <v>47.5</v>
      </c>
      <c r="I203" s="415">
        <v>46.5</v>
      </c>
      <c r="J203" s="415">
        <v>45.6</v>
      </c>
      <c r="K203" s="415">
        <v>44.6</v>
      </c>
    </row>
    <row r="204" ht="12.75" customHeight="1" spans="1:11" x14ac:dyDescent="0.25">
      <c r="A204" s="220">
        <v>105</v>
      </c>
      <c r="B204" s="415">
        <v>53.3</v>
      </c>
      <c r="C204" s="415">
        <v>52.4</v>
      </c>
      <c r="D204" s="415">
        <v>51.4</v>
      </c>
      <c r="E204" s="415">
        <v>50.4</v>
      </c>
      <c r="F204" s="415">
        <v>49.4</v>
      </c>
      <c r="G204" s="415">
        <v>48.5</v>
      </c>
      <c r="H204" s="415">
        <v>47.5</v>
      </c>
      <c r="I204" s="415">
        <v>46.5</v>
      </c>
      <c r="J204" s="415">
        <v>45.6</v>
      </c>
      <c r="K204" s="415">
        <v>44.6</v>
      </c>
    </row>
    <row r="205" ht="12.75" customHeight="1" spans="1:11" x14ac:dyDescent="0.25">
      <c r="A205" s="220">
        <v>106</v>
      </c>
      <c r="B205" s="415">
        <v>53.3</v>
      </c>
      <c r="C205" s="415">
        <v>52.4</v>
      </c>
      <c r="D205" s="415">
        <v>51.4</v>
      </c>
      <c r="E205" s="415">
        <v>50.4</v>
      </c>
      <c r="F205" s="415">
        <v>49.4</v>
      </c>
      <c r="G205" s="415">
        <v>48.5</v>
      </c>
      <c r="H205" s="415">
        <v>47.5</v>
      </c>
      <c r="I205" s="415">
        <v>46.5</v>
      </c>
      <c r="J205" s="415">
        <v>45.6</v>
      </c>
      <c r="K205" s="415">
        <v>44.6</v>
      </c>
    </row>
    <row r="206" ht="12.75" customHeight="1" spans="1:11" x14ac:dyDescent="0.25">
      <c r="A206" s="220">
        <v>107</v>
      </c>
      <c r="B206" s="415">
        <v>53.3</v>
      </c>
      <c r="C206" s="415">
        <v>52.4</v>
      </c>
      <c r="D206" s="415">
        <v>51.4</v>
      </c>
      <c r="E206" s="415">
        <v>50.4</v>
      </c>
      <c r="F206" s="415">
        <v>49.4</v>
      </c>
      <c r="G206" s="415">
        <v>48.5</v>
      </c>
      <c r="H206" s="415">
        <v>47.5</v>
      </c>
      <c r="I206" s="415">
        <v>46.5</v>
      </c>
      <c r="J206" s="415">
        <v>45.6</v>
      </c>
      <c r="K206" s="415">
        <v>44.6</v>
      </c>
    </row>
    <row r="207" ht="12.75" customHeight="1" spans="1:11" x14ac:dyDescent="0.25">
      <c r="A207" s="220">
        <v>108</v>
      </c>
      <c r="B207" s="415">
        <v>53.3</v>
      </c>
      <c r="C207" s="415">
        <v>52.4</v>
      </c>
      <c r="D207" s="415">
        <v>51.4</v>
      </c>
      <c r="E207" s="415">
        <v>50.4</v>
      </c>
      <c r="F207" s="415">
        <v>49.4</v>
      </c>
      <c r="G207" s="415">
        <v>48.5</v>
      </c>
      <c r="H207" s="415">
        <v>47.5</v>
      </c>
      <c r="I207" s="415">
        <v>46.5</v>
      </c>
      <c r="J207" s="415">
        <v>45.6</v>
      </c>
      <c r="K207" s="415">
        <v>44.6</v>
      </c>
    </row>
    <row r="208" ht="12.75" customHeight="1" spans="1:11" x14ac:dyDescent="0.25">
      <c r="A208" s="220">
        <v>109</v>
      </c>
      <c r="B208" s="415">
        <v>53.3</v>
      </c>
      <c r="C208" s="415">
        <v>52.4</v>
      </c>
      <c r="D208" s="415">
        <v>51.4</v>
      </c>
      <c r="E208" s="415">
        <v>50.4</v>
      </c>
      <c r="F208" s="415">
        <v>49.4</v>
      </c>
      <c r="G208" s="415">
        <v>48.5</v>
      </c>
      <c r="H208" s="415">
        <v>47.5</v>
      </c>
      <c r="I208" s="415">
        <v>46.5</v>
      </c>
      <c r="J208" s="415">
        <v>45.6</v>
      </c>
      <c r="K208" s="415">
        <v>44.6</v>
      </c>
    </row>
    <row r="209" ht="12.75" customHeight="1" spans="1:11" x14ac:dyDescent="0.25">
      <c r="A209" s="220">
        <v>110</v>
      </c>
      <c r="B209" s="415">
        <v>53.3</v>
      </c>
      <c r="C209" s="415">
        <v>52.4</v>
      </c>
      <c r="D209" s="415">
        <v>51.4</v>
      </c>
      <c r="E209" s="415">
        <v>50.4</v>
      </c>
      <c r="F209" s="415">
        <v>49.4</v>
      </c>
      <c r="G209" s="415">
        <v>48.5</v>
      </c>
      <c r="H209" s="415">
        <v>47.5</v>
      </c>
      <c r="I209" s="415">
        <v>46.5</v>
      </c>
      <c r="J209" s="415">
        <v>45.6</v>
      </c>
      <c r="K209" s="415">
        <v>44.6</v>
      </c>
    </row>
    <row r="210" ht="12.75" customHeight="1" spans="1:11" x14ac:dyDescent="0.25">
      <c r="A210" s="220">
        <v>111</v>
      </c>
      <c r="B210" s="415">
        <v>53.3</v>
      </c>
      <c r="C210" s="415">
        <v>52.4</v>
      </c>
      <c r="D210" s="415">
        <v>51.4</v>
      </c>
      <c r="E210" s="415">
        <v>50.4</v>
      </c>
      <c r="F210" s="415">
        <v>49.4</v>
      </c>
      <c r="G210" s="415">
        <v>48.5</v>
      </c>
      <c r="H210" s="415">
        <v>47.5</v>
      </c>
      <c r="I210" s="415">
        <v>46.5</v>
      </c>
      <c r="J210" s="415">
        <v>45.6</v>
      </c>
      <c r="K210" s="415">
        <v>44.6</v>
      </c>
    </row>
    <row r="211" ht="12.75" customHeight="1" spans="1:11" x14ac:dyDescent="0.25">
      <c r="A211" s="220">
        <v>112</v>
      </c>
      <c r="B211" s="415">
        <v>53.3</v>
      </c>
      <c r="C211" s="415">
        <v>52.4</v>
      </c>
      <c r="D211" s="415">
        <v>51.4</v>
      </c>
      <c r="E211" s="415">
        <v>50.4</v>
      </c>
      <c r="F211" s="415">
        <v>49.4</v>
      </c>
      <c r="G211" s="415">
        <v>48.5</v>
      </c>
      <c r="H211" s="415">
        <v>47.5</v>
      </c>
      <c r="I211" s="415">
        <v>46.5</v>
      </c>
      <c r="J211" s="415">
        <v>45.6</v>
      </c>
      <c r="K211" s="415">
        <v>44.6</v>
      </c>
    </row>
    <row r="212" ht="12.75" customHeight="1" spans="1:11" x14ac:dyDescent="0.25">
      <c r="A212" s="220">
        <v>113</v>
      </c>
      <c r="B212" s="415">
        <v>53.3</v>
      </c>
      <c r="C212" s="415">
        <v>52.4</v>
      </c>
      <c r="D212" s="415">
        <v>51.4</v>
      </c>
      <c r="E212" s="415">
        <v>50.4</v>
      </c>
      <c r="F212" s="415">
        <v>49.4</v>
      </c>
      <c r="G212" s="415">
        <v>48.5</v>
      </c>
      <c r="H212" s="415">
        <v>47.5</v>
      </c>
      <c r="I212" s="415">
        <v>46.5</v>
      </c>
      <c r="J212" s="415">
        <v>45.6</v>
      </c>
      <c r="K212" s="415">
        <v>44.6</v>
      </c>
    </row>
    <row r="213" ht="12.75" customHeight="1" spans="1:11" x14ac:dyDescent="0.25">
      <c r="A213" s="220">
        <v>114</v>
      </c>
      <c r="B213" s="415">
        <v>53.3</v>
      </c>
      <c r="C213" s="415">
        <v>52.4</v>
      </c>
      <c r="D213" s="415">
        <v>51.4</v>
      </c>
      <c r="E213" s="415">
        <v>50.4</v>
      </c>
      <c r="F213" s="415">
        <v>49.4</v>
      </c>
      <c r="G213" s="415">
        <v>48.5</v>
      </c>
      <c r="H213" s="415">
        <v>47.5</v>
      </c>
      <c r="I213" s="415">
        <v>46.5</v>
      </c>
      <c r="J213" s="415">
        <v>45.6</v>
      </c>
      <c r="K213" s="415">
        <v>44.6</v>
      </c>
    </row>
    <row r="214" ht="13.5" customHeight="1" spans="1:11" x14ac:dyDescent="0.25">
      <c r="A214" s="220" t="s">
        <v>698</v>
      </c>
      <c r="B214" s="415">
        <v>53.3</v>
      </c>
      <c r="C214" s="415">
        <v>52.4</v>
      </c>
      <c r="D214" s="415">
        <v>51.4</v>
      </c>
      <c r="E214" s="415">
        <v>50.4</v>
      </c>
      <c r="F214" s="415">
        <v>49.4</v>
      </c>
      <c r="G214" s="415">
        <v>48.5</v>
      </c>
      <c r="H214" s="415">
        <v>47.5</v>
      </c>
      <c r="I214" s="415">
        <v>46.5</v>
      </c>
      <c r="J214" s="415">
        <v>45.6</v>
      </c>
      <c r="K214" s="415">
        <v>44.6</v>
      </c>
    </row>
    <row r="215" ht="12.75" customHeight="1" spans="1:1" x14ac:dyDescent="0.25">
      <c r="A215" s="20"/>
    </row>
    <row r="216" ht="13.5" customHeight="1" spans="1:11" x14ac:dyDescent="0.25">
      <c r="A216" s="220" t="s">
        <v>697</v>
      </c>
      <c r="B216" s="220">
        <v>40</v>
      </c>
      <c r="C216" s="220">
        <v>41</v>
      </c>
      <c r="D216" s="220">
        <v>42</v>
      </c>
      <c r="E216" s="220">
        <v>43</v>
      </c>
      <c r="F216" s="220">
        <v>44</v>
      </c>
      <c r="G216" s="220">
        <v>45</v>
      </c>
      <c r="H216" s="220">
        <v>46</v>
      </c>
      <c r="I216" s="220">
        <v>47</v>
      </c>
      <c r="J216" s="220">
        <v>48</v>
      </c>
      <c r="K216" s="220">
        <v>49</v>
      </c>
    </row>
    <row r="217" ht="12.75" customHeight="1" spans="1:11" x14ac:dyDescent="0.25">
      <c r="A217" s="220">
        <v>40</v>
      </c>
      <c r="B217" s="415">
        <v>50.2</v>
      </c>
      <c r="C217" s="415">
        <v>49.8</v>
      </c>
      <c r="D217" s="415">
        <v>49.3</v>
      </c>
      <c r="E217" s="415">
        <v>48.9</v>
      </c>
      <c r="F217" s="415">
        <v>48.5</v>
      </c>
      <c r="G217" s="415">
        <v>48.1</v>
      </c>
      <c r="H217" s="415">
        <v>47.7</v>
      </c>
      <c r="I217" s="415">
        <v>47.4</v>
      </c>
      <c r="J217" s="415">
        <v>47.1</v>
      </c>
      <c r="K217" s="415">
        <v>46.8</v>
      </c>
    </row>
    <row r="218" ht="12.75" customHeight="1" spans="1:11" x14ac:dyDescent="0.25">
      <c r="A218" s="220">
        <v>41</v>
      </c>
      <c r="B218" s="415">
        <v>49.8</v>
      </c>
      <c r="C218" s="415">
        <v>49.3</v>
      </c>
      <c r="D218" s="415">
        <v>48.8</v>
      </c>
      <c r="E218" s="415">
        <v>48.3</v>
      </c>
      <c r="F218" s="415">
        <v>47.9</v>
      </c>
      <c r="G218" s="415">
        <v>47.5</v>
      </c>
      <c r="H218" s="415">
        <v>47.1</v>
      </c>
      <c r="I218" s="415">
        <v>46.7</v>
      </c>
      <c r="J218" s="415">
        <v>46.4</v>
      </c>
      <c r="K218" s="415">
        <v>46.1</v>
      </c>
    </row>
    <row r="219" ht="12.75" customHeight="1" spans="1:11" x14ac:dyDescent="0.25">
      <c r="A219" s="220">
        <v>42</v>
      </c>
      <c r="B219" s="415">
        <v>49.3</v>
      </c>
      <c r="C219" s="415">
        <v>48.8</v>
      </c>
      <c r="D219" s="415">
        <v>48.3</v>
      </c>
      <c r="E219" s="415">
        <v>47.8</v>
      </c>
      <c r="F219" s="415">
        <v>47.3</v>
      </c>
      <c r="G219" s="415">
        <v>46.9</v>
      </c>
      <c r="H219" s="415">
        <v>46.5</v>
      </c>
      <c r="I219" s="415">
        <v>46.1</v>
      </c>
      <c r="J219" s="415">
        <v>45.8</v>
      </c>
      <c r="K219" s="415">
        <v>45.4</v>
      </c>
    </row>
    <row r="220" ht="12.75" customHeight="1" spans="1:11" x14ac:dyDescent="0.25">
      <c r="A220" s="220">
        <v>43</v>
      </c>
      <c r="B220" s="415">
        <v>48.9</v>
      </c>
      <c r="C220" s="415">
        <v>48.3</v>
      </c>
      <c r="D220" s="415">
        <v>47.8</v>
      </c>
      <c r="E220" s="415">
        <v>47.3</v>
      </c>
      <c r="F220" s="415">
        <v>46.8</v>
      </c>
      <c r="G220" s="415">
        <v>46.3</v>
      </c>
      <c r="H220" s="415">
        <v>45.9</v>
      </c>
      <c r="I220" s="415">
        <v>45.5</v>
      </c>
      <c r="J220" s="415">
        <v>45.1</v>
      </c>
      <c r="K220" s="415">
        <v>44.8</v>
      </c>
    </row>
    <row r="221" ht="12.75" customHeight="1" spans="1:11" x14ac:dyDescent="0.25">
      <c r="A221" s="220">
        <v>44</v>
      </c>
      <c r="B221" s="415">
        <v>48.5</v>
      </c>
      <c r="C221" s="415">
        <v>47.9</v>
      </c>
      <c r="D221" s="415">
        <v>47.3</v>
      </c>
      <c r="E221" s="415">
        <v>46.8</v>
      </c>
      <c r="F221" s="415">
        <v>46.3</v>
      </c>
      <c r="G221" s="415">
        <v>45.8</v>
      </c>
      <c r="H221" s="415">
        <v>45.4</v>
      </c>
      <c r="I221" s="415">
        <v>44.9</v>
      </c>
      <c r="J221" s="415">
        <v>44.5</v>
      </c>
      <c r="K221" s="415">
        <v>44.2</v>
      </c>
    </row>
    <row r="222" ht="12.75" customHeight="1" spans="1:11" x14ac:dyDescent="0.25">
      <c r="A222" s="220">
        <v>45</v>
      </c>
      <c r="B222" s="415">
        <v>48.1</v>
      </c>
      <c r="C222" s="415">
        <v>47.5</v>
      </c>
      <c r="D222" s="415">
        <v>46.9</v>
      </c>
      <c r="E222" s="415">
        <v>46.3</v>
      </c>
      <c r="F222" s="415">
        <v>45.8</v>
      </c>
      <c r="G222" s="415">
        <v>45.3</v>
      </c>
      <c r="H222" s="415">
        <v>44.8</v>
      </c>
      <c r="I222" s="415">
        <v>44.4</v>
      </c>
      <c r="J222" s="415">
        <v>44</v>
      </c>
      <c r="K222" s="415">
        <v>43.6</v>
      </c>
    </row>
    <row r="223" ht="12.75" customHeight="1" spans="1:11" x14ac:dyDescent="0.25">
      <c r="A223" s="220">
        <v>46</v>
      </c>
      <c r="B223" s="415">
        <v>47.7</v>
      </c>
      <c r="C223" s="415">
        <v>47.1</v>
      </c>
      <c r="D223" s="415">
        <v>46.5</v>
      </c>
      <c r="E223" s="415">
        <v>45.9</v>
      </c>
      <c r="F223" s="415">
        <v>45.4</v>
      </c>
      <c r="G223" s="415">
        <v>44.8</v>
      </c>
      <c r="H223" s="415">
        <v>44.3</v>
      </c>
      <c r="I223" s="415">
        <v>43.9</v>
      </c>
      <c r="J223" s="415">
        <v>43.4</v>
      </c>
      <c r="K223" s="415">
        <v>43</v>
      </c>
    </row>
    <row r="224" ht="12.75" customHeight="1" spans="1:11" x14ac:dyDescent="0.25">
      <c r="A224" s="220">
        <v>47</v>
      </c>
      <c r="B224" s="415">
        <v>47.4</v>
      </c>
      <c r="C224" s="415">
        <v>46.7</v>
      </c>
      <c r="D224" s="415">
        <v>46.1</v>
      </c>
      <c r="E224" s="415">
        <v>45.5</v>
      </c>
      <c r="F224" s="415">
        <v>44.9</v>
      </c>
      <c r="G224" s="415">
        <v>44.4</v>
      </c>
      <c r="H224" s="415">
        <v>43.9</v>
      </c>
      <c r="I224" s="415">
        <v>43.4</v>
      </c>
      <c r="J224" s="415">
        <v>42.9</v>
      </c>
      <c r="K224" s="415">
        <v>42.4</v>
      </c>
    </row>
    <row r="225" ht="12.75" customHeight="1" spans="1:11" x14ac:dyDescent="0.25">
      <c r="A225" s="220">
        <v>48</v>
      </c>
      <c r="B225" s="415">
        <v>47.1</v>
      </c>
      <c r="C225" s="415">
        <v>46.4</v>
      </c>
      <c r="D225" s="415">
        <v>45.8</v>
      </c>
      <c r="E225" s="415">
        <v>45.1</v>
      </c>
      <c r="F225" s="415">
        <v>44.5</v>
      </c>
      <c r="G225" s="415">
        <v>44</v>
      </c>
      <c r="H225" s="415">
        <v>43.4</v>
      </c>
      <c r="I225" s="415">
        <v>42.9</v>
      </c>
      <c r="J225" s="415">
        <v>42.4</v>
      </c>
      <c r="K225" s="415">
        <v>41.9</v>
      </c>
    </row>
    <row r="226" ht="12.75" customHeight="1" spans="1:11" x14ac:dyDescent="0.25">
      <c r="A226" s="220">
        <v>49</v>
      </c>
      <c r="B226" s="415">
        <v>46.8</v>
      </c>
      <c r="C226" s="415">
        <v>46.1</v>
      </c>
      <c r="D226" s="415">
        <v>45.4</v>
      </c>
      <c r="E226" s="415">
        <v>44.8</v>
      </c>
      <c r="F226" s="415">
        <v>44.2</v>
      </c>
      <c r="G226" s="415">
        <v>43.6</v>
      </c>
      <c r="H226" s="415">
        <v>43</v>
      </c>
      <c r="I226" s="415">
        <v>42.4</v>
      </c>
      <c r="J226" s="415">
        <v>41.9</v>
      </c>
      <c r="K226" s="415">
        <v>41.4</v>
      </c>
    </row>
    <row r="227" ht="12.75" customHeight="1" spans="1:11" x14ac:dyDescent="0.25">
      <c r="A227" s="220">
        <v>50</v>
      </c>
      <c r="B227" s="415">
        <v>46.5</v>
      </c>
      <c r="C227" s="415">
        <v>45.8</v>
      </c>
      <c r="D227" s="415">
        <v>45.1</v>
      </c>
      <c r="E227" s="415">
        <v>44.4</v>
      </c>
      <c r="F227" s="415">
        <v>43.8</v>
      </c>
      <c r="G227" s="415">
        <v>43.2</v>
      </c>
      <c r="H227" s="415">
        <v>42.6</v>
      </c>
      <c r="I227" s="415">
        <v>42</v>
      </c>
      <c r="J227" s="415">
        <v>41.5</v>
      </c>
      <c r="K227" s="415">
        <v>40.9</v>
      </c>
    </row>
    <row r="228" ht="12.75" customHeight="1" spans="1:11" x14ac:dyDescent="0.25">
      <c r="A228" s="220">
        <v>51</v>
      </c>
      <c r="B228" s="415">
        <v>46.3</v>
      </c>
      <c r="C228" s="415">
        <v>45.5</v>
      </c>
      <c r="D228" s="415">
        <v>44.8</v>
      </c>
      <c r="E228" s="415">
        <v>44.1</v>
      </c>
      <c r="F228" s="415">
        <v>43.5</v>
      </c>
      <c r="G228" s="415">
        <v>42.8</v>
      </c>
      <c r="H228" s="415">
        <v>42.2</v>
      </c>
      <c r="I228" s="415">
        <v>41.6</v>
      </c>
      <c r="J228" s="415">
        <v>41</v>
      </c>
      <c r="K228" s="415">
        <v>40.5</v>
      </c>
    </row>
    <row r="229" ht="12.75" customHeight="1" spans="1:11" x14ac:dyDescent="0.25">
      <c r="A229" s="220">
        <v>52</v>
      </c>
      <c r="B229" s="415">
        <v>46</v>
      </c>
      <c r="C229" s="415">
        <v>45.3</v>
      </c>
      <c r="D229" s="415">
        <v>44.6</v>
      </c>
      <c r="E229" s="415">
        <v>43.8</v>
      </c>
      <c r="F229" s="415">
        <v>43.2</v>
      </c>
      <c r="G229" s="415">
        <v>42.5</v>
      </c>
      <c r="H229" s="415">
        <v>41.8</v>
      </c>
      <c r="I229" s="415">
        <v>41.2</v>
      </c>
      <c r="J229" s="415">
        <v>40.6</v>
      </c>
      <c r="K229" s="415">
        <v>40.1</v>
      </c>
    </row>
    <row r="230" ht="12.75" customHeight="1" spans="1:11" x14ac:dyDescent="0.25">
      <c r="A230" s="220">
        <v>53</v>
      </c>
      <c r="B230" s="415">
        <v>45.8</v>
      </c>
      <c r="C230" s="415">
        <v>45.1</v>
      </c>
      <c r="D230" s="415">
        <v>44.3</v>
      </c>
      <c r="E230" s="415">
        <v>43.6</v>
      </c>
      <c r="F230" s="415">
        <v>42.9</v>
      </c>
      <c r="G230" s="415">
        <v>42.2</v>
      </c>
      <c r="H230" s="415">
        <v>41.5</v>
      </c>
      <c r="I230" s="415">
        <v>40.9</v>
      </c>
      <c r="J230" s="415">
        <v>40.3</v>
      </c>
      <c r="K230" s="415">
        <v>39.7</v>
      </c>
    </row>
    <row r="231" ht="12.75" customHeight="1" spans="1:11" x14ac:dyDescent="0.25">
      <c r="A231" s="220">
        <v>54</v>
      </c>
      <c r="B231" s="415">
        <v>45.6</v>
      </c>
      <c r="C231" s="415">
        <v>44.8</v>
      </c>
      <c r="D231" s="415">
        <v>44.1</v>
      </c>
      <c r="E231" s="415">
        <v>43.3</v>
      </c>
      <c r="F231" s="415">
        <v>42.6</v>
      </c>
      <c r="G231" s="415">
        <v>41.9</v>
      </c>
      <c r="H231" s="415">
        <v>41.2</v>
      </c>
      <c r="I231" s="415">
        <v>40.5</v>
      </c>
      <c r="J231" s="415">
        <v>39.9</v>
      </c>
      <c r="K231" s="415">
        <v>39.3</v>
      </c>
    </row>
    <row r="232" ht="12.75" customHeight="1" spans="1:11" x14ac:dyDescent="0.25">
      <c r="A232" s="220">
        <v>55</v>
      </c>
      <c r="B232" s="415">
        <v>45.5</v>
      </c>
      <c r="C232" s="415">
        <v>44.7</v>
      </c>
      <c r="D232" s="415">
        <v>43.9</v>
      </c>
      <c r="E232" s="415">
        <v>43.1</v>
      </c>
      <c r="F232" s="415">
        <v>42.4</v>
      </c>
      <c r="G232" s="415">
        <v>41.6</v>
      </c>
      <c r="H232" s="415">
        <v>40.9</v>
      </c>
      <c r="I232" s="415">
        <v>40.2</v>
      </c>
      <c r="J232" s="415">
        <v>39.6</v>
      </c>
      <c r="K232" s="415">
        <v>38.9</v>
      </c>
    </row>
    <row r="233" ht="12.75" customHeight="1" spans="1:11" x14ac:dyDescent="0.25">
      <c r="A233" s="220">
        <v>56</v>
      </c>
      <c r="B233" s="415">
        <v>45.3</v>
      </c>
      <c r="C233" s="415">
        <v>44.5</v>
      </c>
      <c r="D233" s="415">
        <v>43.7</v>
      </c>
      <c r="E233" s="415">
        <v>42.9</v>
      </c>
      <c r="F233" s="415">
        <v>42.1</v>
      </c>
      <c r="G233" s="415">
        <v>41.4</v>
      </c>
      <c r="H233" s="415">
        <v>40.7</v>
      </c>
      <c r="I233" s="415">
        <v>40</v>
      </c>
      <c r="J233" s="415">
        <v>39.3</v>
      </c>
      <c r="K233" s="415">
        <v>38.6</v>
      </c>
    </row>
    <row r="234" ht="12.75" customHeight="1" spans="1:11" x14ac:dyDescent="0.25">
      <c r="A234" s="220">
        <v>57</v>
      </c>
      <c r="B234" s="415">
        <v>45.1</v>
      </c>
      <c r="C234" s="415">
        <v>44.3</v>
      </c>
      <c r="D234" s="415">
        <v>43.5</v>
      </c>
      <c r="E234" s="415">
        <v>42.7</v>
      </c>
      <c r="F234" s="415">
        <v>41.9</v>
      </c>
      <c r="G234" s="415">
        <v>41.2</v>
      </c>
      <c r="H234" s="415">
        <v>40.4</v>
      </c>
      <c r="I234" s="415">
        <v>39.7</v>
      </c>
      <c r="J234" s="415">
        <v>39</v>
      </c>
      <c r="K234" s="415">
        <v>38.3</v>
      </c>
    </row>
    <row r="235" ht="12.75" customHeight="1" spans="1:11" x14ac:dyDescent="0.25">
      <c r="A235" s="220">
        <v>58</v>
      </c>
      <c r="B235" s="415">
        <v>45</v>
      </c>
      <c r="C235" s="415">
        <v>44.2</v>
      </c>
      <c r="D235" s="415">
        <v>43.3</v>
      </c>
      <c r="E235" s="415">
        <v>42.5</v>
      </c>
      <c r="F235" s="415">
        <v>41.7</v>
      </c>
      <c r="G235" s="415">
        <v>40.9</v>
      </c>
      <c r="H235" s="415">
        <v>40.2</v>
      </c>
      <c r="I235" s="415">
        <v>39.4</v>
      </c>
      <c r="J235" s="415">
        <v>38.7</v>
      </c>
      <c r="K235" s="415">
        <v>38</v>
      </c>
    </row>
    <row r="236" ht="12.75" customHeight="1" spans="1:11" x14ac:dyDescent="0.25">
      <c r="A236" s="220">
        <v>59</v>
      </c>
      <c r="B236" s="415">
        <v>44.9</v>
      </c>
      <c r="C236" s="415">
        <v>44</v>
      </c>
      <c r="D236" s="415">
        <v>43.2</v>
      </c>
      <c r="E236" s="415">
        <v>42.4</v>
      </c>
      <c r="F236" s="415">
        <v>41.5</v>
      </c>
      <c r="G236" s="415">
        <v>40.7</v>
      </c>
      <c r="H236" s="415">
        <v>40</v>
      </c>
      <c r="I236" s="415">
        <v>39.2</v>
      </c>
      <c r="J236" s="415">
        <v>38.5</v>
      </c>
      <c r="K236" s="415">
        <v>37.8</v>
      </c>
    </row>
    <row r="237" ht="12.75" customHeight="1" spans="1:11" x14ac:dyDescent="0.25">
      <c r="A237" s="220">
        <v>60</v>
      </c>
      <c r="B237" s="415">
        <v>44.7</v>
      </c>
      <c r="C237" s="415">
        <v>43.9</v>
      </c>
      <c r="D237" s="415">
        <v>43</v>
      </c>
      <c r="E237" s="415">
        <v>42.2</v>
      </c>
      <c r="F237" s="415">
        <v>41.4</v>
      </c>
      <c r="G237" s="415">
        <v>40.6</v>
      </c>
      <c r="H237" s="415">
        <v>39.8</v>
      </c>
      <c r="I237" s="415">
        <v>39</v>
      </c>
      <c r="J237" s="415">
        <v>38.2</v>
      </c>
      <c r="K237" s="415">
        <v>37.5</v>
      </c>
    </row>
    <row r="238" ht="12.75" customHeight="1" spans="1:11" x14ac:dyDescent="0.25">
      <c r="A238" s="220">
        <v>61</v>
      </c>
      <c r="B238" s="415">
        <v>44.6</v>
      </c>
      <c r="C238" s="415">
        <v>43.8</v>
      </c>
      <c r="D238" s="415">
        <v>42.9</v>
      </c>
      <c r="E238" s="415">
        <v>42.1</v>
      </c>
      <c r="F238" s="415">
        <v>41.2</v>
      </c>
      <c r="G238" s="415">
        <v>40.4</v>
      </c>
      <c r="H238" s="415">
        <v>39.6</v>
      </c>
      <c r="I238" s="415">
        <v>38.8</v>
      </c>
      <c r="J238" s="415">
        <v>38</v>
      </c>
      <c r="K238" s="415">
        <v>37.3</v>
      </c>
    </row>
    <row r="239" ht="12.75" customHeight="1" spans="1:11" x14ac:dyDescent="0.25">
      <c r="A239" s="220">
        <v>62</v>
      </c>
      <c r="B239" s="415">
        <v>44.5</v>
      </c>
      <c r="C239" s="415">
        <v>43.7</v>
      </c>
      <c r="D239" s="415">
        <v>42.8</v>
      </c>
      <c r="E239" s="415">
        <v>41.9</v>
      </c>
      <c r="F239" s="415">
        <v>41.1</v>
      </c>
      <c r="G239" s="415">
        <v>40.3</v>
      </c>
      <c r="H239" s="415">
        <v>39.4</v>
      </c>
      <c r="I239" s="415">
        <v>38.6</v>
      </c>
      <c r="J239" s="415">
        <v>37.8</v>
      </c>
      <c r="K239" s="415">
        <v>37.1</v>
      </c>
    </row>
    <row r="240" ht="12.75" customHeight="1" spans="1:11" x14ac:dyDescent="0.25">
      <c r="A240" s="220">
        <v>63</v>
      </c>
      <c r="B240" s="415">
        <v>44.5</v>
      </c>
      <c r="C240" s="415">
        <v>43.6</v>
      </c>
      <c r="D240" s="415">
        <v>42.7</v>
      </c>
      <c r="E240" s="415">
        <v>41.8</v>
      </c>
      <c r="F240" s="415">
        <v>41</v>
      </c>
      <c r="G240" s="415">
        <v>40.1</v>
      </c>
      <c r="H240" s="415">
        <v>39.3</v>
      </c>
      <c r="I240" s="415">
        <v>38.5</v>
      </c>
      <c r="J240" s="415">
        <v>37.7</v>
      </c>
      <c r="K240" s="415">
        <v>36.9</v>
      </c>
    </row>
    <row r="241" ht="12.75" customHeight="1" spans="1:11" x14ac:dyDescent="0.25">
      <c r="A241" s="220">
        <v>64</v>
      </c>
      <c r="B241" s="415">
        <v>44.4</v>
      </c>
      <c r="C241" s="415">
        <v>43.5</v>
      </c>
      <c r="D241" s="415">
        <v>42.6</v>
      </c>
      <c r="E241" s="415">
        <v>41.7</v>
      </c>
      <c r="F241" s="415">
        <v>40.8</v>
      </c>
      <c r="G241" s="415">
        <v>40</v>
      </c>
      <c r="H241" s="415">
        <v>39.2</v>
      </c>
      <c r="I241" s="415">
        <v>38.3</v>
      </c>
      <c r="J241" s="415">
        <v>37.5</v>
      </c>
      <c r="K241" s="415">
        <v>36.7</v>
      </c>
    </row>
    <row r="242" ht="12.75" customHeight="1" spans="1:11" x14ac:dyDescent="0.25">
      <c r="A242" s="220">
        <v>65</v>
      </c>
      <c r="B242" s="415">
        <v>44.3</v>
      </c>
      <c r="C242" s="415">
        <v>43.4</v>
      </c>
      <c r="D242" s="415">
        <v>42.5</v>
      </c>
      <c r="E242" s="415">
        <v>41.6</v>
      </c>
      <c r="F242" s="415">
        <v>40.7</v>
      </c>
      <c r="G242" s="415">
        <v>39.9</v>
      </c>
      <c r="H242" s="415">
        <v>39</v>
      </c>
      <c r="I242" s="415">
        <v>38.2</v>
      </c>
      <c r="J242" s="415">
        <v>37.4</v>
      </c>
      <c r="K242" s="415">
        <v>36.6</v>
      </c>
    </row>
    <row r="243" ht="12.75" customHeight="1" spans="1:11" x14ac:dyDescent="0.25">
      <c r="A243" s="220">
        <v>66</v>
      </c>
      <c r="B243" s="415">
        <v>44.2</v>
      </c>
      <c r="C243" s="415">
        <v>43.3</v>
      </c>
      <c r="D243" s="415">
        <v>42.4</v>
      </c>
      <c r="E243" s="415">
        <v>41.5</v>
      </c>
      <c r="F243" s="415">
        <v>40.6</v>
      </c>
      <c r="G243" s="415">
        <v>39.8</v>
      </c>
      <c r="H243" s="415">
        <v>38.9</v>
      </c>
      <c r="I243" s="415">
        <v>38.1</v>
      </c>
      <c r="J243" s="415">
        <v>37.2</v>
      </c>
      <c r="K243" s="415">
        <v>36.4</v>
      </c>
    </row>
    <row r="244" ht="12.75" customHeight="1" spans="1:11" x14ac:dyDescent="0.25">
      <c r="A244" s="220">
        <v>67</v>
      </c>
      <c r="B244" s="415">
        <v>44.2</v>
      </c>
      <c r="C244" s="415">
        <v>43.3</v>
      </c>
      <c r="D244" s="415">
        <v>42.3</v>
      </c>
      <c r="E244" s="415">
        <v>41.4</v>
      </c>
      <c r="F244" s="415">
        <v>40.6</v>
      </c>
      <c r="G244" s="415">
        <v>39.7</v>
      </c>
      <c r="H244" s="415">
        <v>38.8</v>
      </c>
      <c r="I244" s="415">
        <v>38</v>
      </c>
      <c r="J244" s="415">
        <v>37.1</v>
      </c>
      <c r="K244" s="415">
        <v>36.3</v>
      </c>
    </row>
    <row r="245" ht="12.75" customHeight="1" spans="1:11" x14ac:dyDescent="0.25">
      <c r="A245" s="220">
        <v>68</v>
      </c>
      <c r="B245" s="415">
        <v>44.1</v>
      </c>
      <c r="C245" s="415">
        <v>43.2</v>
      </c>
      <c r="D245" s="415">
        <v>42.3</v>
      </c>
      <c r="E245" s="415">
        <v>41.4</v>
      </c>
      <c r="F245" s="415">
        <v>40.5</v>
      </c>
      <c r="G245" s="415">
        <v>39.6</v>
      </c>
      <c r="H245" s="415">
        <v>38.7</v>
      </c>
      <c r="I245" s="415">
        <v>37.9</v>
      </c>
      <c r="J245" s="415">
        <v>37</v>
      </c>
      <c r="K245" s="415">
        <v>36.2</v>
      </c>
    </row>
    <row r="246" ht="12.75" customHeight="1" spans="1:11" x14ac:dyDescent="0.25">
      <c r="A246" s="220">
        <v>69</v>
      </c>
      <c r="B246" s="415">
        <v>44.1</v>
      </c>
      <c r="C246" s="415">
        <v>43.1</v>
      </c>
      <c r="D246" s="415">
        <v>42.2</v>
      </c>
      <c r="E246" s="415">
        <v>41.3</v>
      </c>
      <c r="F246" s="415">
        <v>40.4</v>
      </c>
      <c r="G246" s="415">
        <v>39.5</v>
      </c>
      <c r="H246" s="415">
        <v>38.6</v>
      </c>
      <c r="I246" s="415">
        <v>37.8</v>
      </c>
      <c r="J246" s="415">
        <v>36.9</v>
      </c>
      <c r="K246" s="415">
        <v>36</v>
      </c>
    </row>
    <row r="247" ht="12.75" customHeight="1" spans="1:11" x14ac:dyDescent="0.25">
      <c r="A247" s="220">
        <v>70</v>
      </c>
      <c r="B247" s="415">
        <v>44</v>
      </c>
      <c r="C247" s="415">
        <v>43.1</v>
      </c>
      <c r="D247" s="415">
        <v>42.2</v>
      </c>
      <c r="E247" s="415">
        <v>41.3</v>
      </c>
      <c r="F247" s="415">
        <v>40.3</v>
      </c>
      <c r="G247" s="415">
        <v>39.4</v>
      </c>
      <c r="H247" s="415">
        <v>38.6</v>
      </c>
      <c r="I247" s="415">
        <v>37.7</v>
      </c>
      <c r="J247" s="415">
        <v>36.8</v>
      </c>
      <c r="K247" s="415">
        <v>35.9</v>
      </c>
    </row>
    <row r="248" ht="12.75" customHeight="1" spans="1:11" x14ac:dyDescent="0.25">
      <c r="A248" s="220">
        <v>71</v>
      </c>
      <c r="B248" s="415">
        <v>44</v>
      </c>
      <c r="C248" s="415">
        <v>43</v>
      </c>
      <c r="D248" s="415">
        <v>42.1</v>
      </c>
      <c r="E248" s="415">
        <v>41.2</v>
      </c>
      <c r="F248" s="415">
        <v>40.3</v>
      </c>
      <c r="G248" s="415">
        <v>39.4</v>
      </c>
      <c r="H248" s="415">
        <v>38.5</v>
      </c>
      <c r="I248" s="415">
        <v>37.6</v>
      </c>
      <c r="J248" s="415">
        <v>36.7</v>
      </c>
      <c r="K248" s="415">
        <v>35.9</v>
      </c>
    </row>
    <row r="249" ht="12.75" customHeight="1" spans="1:11" x14ac:dyDescent="0.25">
      <c r="A249" s="220">
        <v>72</v>
      </c>
      <c r="B249" s="415">
        <v>43.9</v>
      </c>
      <c r="C249" s="415">
        <v>43</v>
      </c>
      <c r="D249" s="415">
        <v>42.1</v>
      </c>
      <c r="E249" s="415">
        <v>41.1</v>
      </c>
      <c r="F249" s="415">
        <v>40.2</v>
      </c>
      <c r="G249" s="415">
        <v>39.3</v>
      </c>
      <c r="H249" s="415">
        <v>38.4</v>
      </c>
      <c r="I249" s="415">
        <v>37.5</v>
      </c>
      <c r="J249" s="415">
        <v>36.6</v>
      </c>
      <c r="K249" s="415">
        <v>35.8</v>
      </c>
    </row>
    <row r="250" ht="12.75" customHeight="1" spans="1:11" x14ac:dyDescent="0.25">
      <c r="A250" s="220">
        <v>73</v>
      </c>
      <c r="B250" s="415">
        <v>43.9</v>
      </c>
      <c r="C250" s="415">
        <v>43</v>
      </c>
      <c r="D250" s="415">
        <v>42</v>
      </c>
      <c r="E250" s="415">
        <v>41.1</v>
      </c>
      <c r="F250" s="415">
        <v>40.2</v>
      </c>
      <c r="G250" s="415">
        <v>39.3</v>
      </c>
      <c r="H250" s="415">
        <v>38.4</v>
      </c>
      <c r="I250" s="415">
        <v>37.5</v>
      </c>
      <c r="J250" s="415">
        <v>36.6</v>
      </c>
      <c r="K250" s="415">
        <v>35.7</v>
      </c>
    </row>
    <row r="251" ht="12.75" customHeight="1" spans="1:11" x14ac:dyDescent="0.25">
      <c r="A251" s="220">
        <v>74</v>
      </c>
      <c r="B251" s="415">
        <v>43.9</v>
      </c>
      <c r="C251" s="415">
        <v>42.9</v>
      </c>
      <c r="D251" s="415">
        <v>42</v>
      </c>
      <c r="E251" s="415">
        <v>41.1</v>
      </c>
      <c r="F251" s="415">
        <v>40.1</v>
      </c>
      <c r="G251" s="415">
        <v>39.2</v>
      </c>
      <c r="H251" s="415">
        <v>38.3</v>
      </c>
      <c r="I251" s="415">
        <v>37.4</v>
      </c>
      <c r="J251" s="415">
        <v>36.5</v>
      </c>
      <c r="K251" s="415">
        <v>35.6</v>
      </c>
    </row>
    <row r="252" ht="12.75" customHeight="1" spans="1:11" x14ac:dyDescent="0.25">
      <c r="A252" s="220">
        <v>75</v>
      </c>
      <c r="B252" s="415">
        <v>43.8</v>
      </c>
      <c r="C252" s="415">
        <v>42.9</v>
      </c>
      <c r="D252" s="415">
        <v>42</v>
      </c>
      <c r="E252" s="415">
        <v>41</v>
      </c>
      <c r="F252" s="415">
        <v>40.1</v>
      </c>
      <c r="G252" s="415">
        <v>39.2</v>
      </c>
      <c r="H252" s="415">
        <v>38.3</v>
      </c>
      <c r="I252" s="415">
        <v>37.4</v>
      </c>
      <c r="J252" s="415">
        <v>36.5</v>
      </c>
      <c r="K252" s="415">
        <v>35.6</v>
      </c>
    </row>
    <row r="253" ht="12.75" customHeight="1" spans="1:11" x14ac:dyDescent="0.25">
      <c r="A253" s="220">
        <v>76</v>
      </c>
      <c r="B253" s="415">
        <v>43.8</v>
      </c>
      <c r="C253" s="415">
        <v>42.9</v>
      </c>
      <c r="D253" s="415">
        <v>41.9</v>
      </c>
      <c r="E253" s="415">
        <v>41</v>
      </c>
      <c r="F253" s="415">
        <v>40.1</v>
      </c>
      <c r="G253" s="415">
        <v>39.1</v>
      </c>
      <c r="H253" s="415">
        <v>38.2</v>
      </c>
      <c r="I253" s="415">
        <v>37.3</v>
      </c>
      <c r="J253" s="415">
        <v>36.4</v>
      </c>
      <c r="K253" s="415">
        <v>35.5</v>
      </c>
    </row>
    <row r="254" ht="12.75" customHeight="1" spans="1:11" x14ac:dyDescent="0.25">
      <c r="A254" s="220">
        <v>77</v>
      </c>
      <c r="B254" s="415">
        <v>43.8</v>
      </c>
      <c r="C254" s="415">
        <v>42.9</v>
      </c>
      <c r="D254" s="415">
        <v>41.9</v>
      </c>
      <c r="E254" s="415">
        <v>41</v>
      </c>
      <c r="F254" s="415">
        <v>40</v>
      </c>
      <c r="G254" s="415">
        <v>39.1</v>
      </c>
      <c r="H254" s="415">
        <v>38.2</v>
      </c>
      <c r="I254" s="415">
        <v>37.3</v>
      </c>
      <c r="J254" s="415">
        <v>36.4</v>
      </c>
      <c r="K254" s="415">
        <v>35.5</v>
      </c>
    </row>
    <row r="255" ht="12.75" customHeight="1" spans="1:11" x14ac:dyDescent="0.25">
      <c r="A255" s="220">
        <v>78</v>
      </c>
      <c r="B255" s="415">
        <v>43.8</v>
      </c>
      <c r="C255" s="415">
        <v>42.8</v>
      </c>
      <c r="D255" s="415">
        <v>41.9</v>
      </c>
      <c r="E255" s="415">
        <v>40.9</v>
      </c>
      <c r="F255" s="415">
        <v>40</v>
      </c>
      <c r="G255" s="415">
        <v>39.1</v>
      </c>
      <c r="H255" s="415">
        <v>38.2</v>
      </c>
      <c r="I255" s="415">
        <v>37.2</v>
      </c>
      <c r="J255" s="415">
        <v>36.3</v>
      </c>
      <c r="K255" s="415">
        <v>35.4</v>
      </c>
    </row>
    <row r="256" ht="12.75" customHeight="1" spans="1:11" x14ac:dyDescent="0.25">
      <c r="A256" s="220">
        <v>79</v>
      </c>
      <c r="B256" s="415">
        <v>43.8</v>
      </c>
      <c r="C256" s="415">
        <v>42.8</v>
      </c>
      <c r="D256" s="415">
        <v>41.9</v>
      </c>
      <c r="E256" s="415">
        <v>40.9</v>
      </c>
      <c r="F256" s="415">
        <v>40</v>
      </c>
      <c r="G256" s="415">
        <v>39.1</v>
      </c>
      <c r="H256" s="415">
        <v>38.1</v>
      </c>
      <c r="I256" s="415">
        <v>37.2</v>
      </c>
      <c r="J256" s="415">
        <v>36.3</v>
      </c>
      <c r="K256" s="415">
        <v>35.4</v>
      </c>
    </row>
    <row r="257" ht="12.75" customHeight="1" spans="1:11" x14ac:dyDescent="0.25">
      <c r="A257" s="220">
        <v>80</v>
      </c>
      <c r="B257" s="415">
        <v>43.7</v>
      </c>
      <c r="C257" s="415">
        <v>42.8</v>
      </c>
      <c r="D257" s="415">
        <v>41.8</v>
      </c>
      <c r="E257" s="415">
        <v>40.9</v>
      </c>
      <c r="F257" s="415">
        <v>40</v>
      </c>
      <c r="G257" s="415">
        <v>39</v>
      </c>
      <c r="H257" s="415">
        <v>38.1</v>
      </c>
      <c r="I257" s="415">
        <v>37.2</v>
      </c>
      <c r="J257" s="415">
        <v>36.3</v>
      </c>
      <c r="K257" s="415">
        <v>35.4</v>
      </c>
    </row>
    <row r="258" ht="12.75" customHeight="1" spans="1:11" x14ac:dyDescent="0.25">
      <c r="A258" s="220">
        <v>81</v>
      </c>
      <c r="B258" s="415">
        <v>43.7</v>
      </c>
      <c r="C258" s="415">
        <v>42.8</v>
      </c>
      <c r="D258" s="415">
        <v>41.8</v>
      </c>
      <c r="E258" s="415">
        <v>40.9</v>
      </c>
      <c r="F258" s="415">
        <v>39.9</v>
      </c>
      <c r="G258" s="415">
        <v>39</v>
      </c>
      <c r="H258" s="415">
        <v>38.1</v>
      </c>
      <c r="I258" s="415">
        <v>37.2</v>
      </c>
      <c r="J258" s="415">
        <v>36.2</v>
      </c>
      <c r="K258" s="415">
        <v>35.3</v>
      </c>
    </row>
    <row r="259" ht="12.75" customHeight="1" spans="1:11" x14ac:dyDescent="0.25">
      <c r="A259" s="220">
        <v>82</v>
      </c>
      <c r="B259" s="415">
        <v>43.7</v>
      </c>
      <c r="C259" s="415">
        <v>42.8</v>
      </c>
      <c r="D259" s="415">
        <v>41.8</v>
      </c>
      <c r="E259" s="415">
        <v>40.9</v>
      </c>
      <c r="F259" s="415">
        <v>39.9</v>
      </c>
      <c r="G259" s="415">
        <v>39</v>
      </c>
      <c r="H259" s="415">
        <v>38.1</v>
      </c>
      <c r="I259" s="415">
        <v>37.1</v>
      </c>
      <c r="J259" s="415">
        <v>36.2</v>
      </c>
      <c r="K259" s="415">
        <v>35.3</v>
      </c>
    </row>
    <row r="260" ht="12.75" customHeight="1" spans="1:11" x14ac:dyDescent="0.25">
      <c r="A260" s="220">
        <v>83</v>
      </c>
      <c r="B260" s="415">
        <v>43.7</v>
      </c>
      <c r="C260" s="415">
        <v>42.8</v>
      </c>
      <c r="D260" s="415">
        <v>41.8</v>
      </c>
      <c r="E260" s="415">
        <v>40.9</v>
      </c>
      <c r="F260" s="415">
        <v>39.9</v>
      </c>
      <c r="G260" s="415">
        <v>39</v>
      </c>
      <c r="H260" s="415">
        <v>38</v>
      </c>
      <c r="I260" s="415">
        <v>37.1</v>
      </c>
      <c r="J260" s="415">
        <v>36.2</v>
      </c>
      <c r="K260" s="415">
        <v>35.3</v>
      </c>
    </row>
    <row r="261" ht="12.75" customHeight="1" spans="1:11" x14ac:dyDescent="0.25">
      <c r="A261" s="220">
        <v>84</v>
      </c>
      <c r="B261" s="415">
        <v>43.7</v>
      </c>
      <c r="C261" s="415">
        <v>42.7</v>
      </c>
      <c r="D261" s="415">
        <v>41.8</v>
      </c>
      <c r="E261" s="415">
        <v>40.8</v>
      </c>
      <c r="F261" s="415">
        <v>39.9</v>
      </c>
      <c r="G261" s="415">
        <v>39</v>
      </c>
      <c r="H261" s="415">
        <v>38</v>
      </c>
      <c r="I261" s="415">
        <v>37.1</v>
      </c>
      <c r="J261" s="415">
        <v>36.2</v>
      </c>
      <c r="K261" s="415">
        <v>35.3</v>
      </c>
    </row>
    <row r="262" ht="12.75" customHeight="1" spans="1:11" x14ac:dyDescent="0.25">
      <c r="A262" s="220">
        <v>85</v>
      </c>
      <c r="B262" s="415">
        <v>43.7</v>
      </c>
      <c r="C262" s="415">
        <v>42.7</v>
      </c>
      <c r="D262" s="415">
        <v>41.8</v>
      </c>
      <c r="E262" s="415">
        <v>40.8</v>
      </c>
      <c r="F262" s="415">
        <v>39.9</v>
      </c>
      <c r="G262" s="415">
        <v>38.9</v>
      </c>
      <c r="H262" s="415">
        <v>38</v>
      </c>
      <c r="I262" s="415">
        <v>37.1</v>
      </c>
      <c r="J262" s="415">
        <v>36.2</v>
      </c>
      <c r="K262" s="415">
        <v>35.2</v>
      </c>
    </row>
    <row r="263" ht="12.75" customHeight="1" spans="1:11" x14ac:dyDescent="0.25">
      <c r="A263" s="220">
        <v>86</v>
      </c>
      <c r="B263" s="415">
        <v>43.7</v>
      </c>
      <c r="C263" s="415">
        <v>42.7</v>
      </c>
      <c r="D263" s="415">
        <v>41.8</v>
      </c>
      <c r="E263" s="415">
        <v>40.8</v>
      </c>
      <c r="F263" s="415">
        <v>39.9</v>
      </c>
      <c r="G263" s="415">
        <v>38.9</v>
      </c>
      <c r="H263" s="415">
        <v>38</v>
      </c>
      <c r="I263" s="415">
        <v>37.1</v>
      </c>
      <c r="J263" s="415">
        <v>36.1</v>
      </c>
      <c r="K263" s="415">
        <v>35.2</v>
      </c>
    </row>
    <row r="264" ht="12.75" customHeight="1" spans="1:11" x14ac:dyDescent="0.25">
      <c r="A264" s="220">
        <v>87</v>
      </c>
      <c r="B264" s="415">
        <v>43.7</v>
      </c>
      <c r="C264" s="415">
        <v>42.7</v>
      </c>
      <c r="D264" s="415">
        <v>41.8</v>
      </c>
      <c r="E264" s="415">
        <v>40.8</v>
      </c>
      <c r="F264" s="415">
        <v>39.9</v>
      </c>
      <c r="G264" s="415">
        <v>38.9</v>
      </c>
      <c r="H264" s="415">
        <v>38</v>
      </c>
      <c r="I264" s="415">
        <v>37</v>
      </c>
      <c r="J264" s="415">
        <v>36.1</v>
      </c>
      <c r="K264" s="415">
        <v>35.2</v>
      </c>
    </row>
    <row r="265" ht="12.75" customHeight="1" spans="1:11" x14ac:dyDescent="0.25">
      <c r="A265" s="220">
        <v>88</v>
      </c>
      <c r="B265" s="415">
        <v>43.7</v>
      </c>
      <c r="C265" s="415">
        <v>42.7</v>
      </c>
      <c r="D265" s="415">
        <v>41.8</v>
      </c>
      <c r="E265" s="415">
        <v>40.8</v>
      </c>
      <c r="F265" s="415">
        <v>39.9</v>
      </c>
      <c r="G265" s="415">
        <v>38.9</v>
      </c>
      <c r="H265" s="415">
        <v>38</v>
      </c>
      <c r="I265" s="415">
        <v>37</v>
      </c>
      <c r="J265" s="415">
        <v>36.1</v>
      </c>
      <c r="K265" s="415">
        <v>35.2</v>
      </c>
    </row>
    <row r="266" ht="12.75" customHeight="1" spans="1:11" x14ac:dyDescent="0.25">
      <c r="A266" s="220">
        <v>89</v>
      </c>
      <c r="B266" s="415">
        <v>43.7</v>
      </c>
      <c r="C266" s="415">
        <v>42.7</v>
      </c>
      <c r="D266" s="415">
        <v>41.7</v>
      </c>
      <c r="E266" s="415">
        <v>40.8</v>
      </c>
      <c r="F266" s="415">
        <v>39.8</v>
      </c>
      <c r="G266" s="415">
        <v>38.9</v>
      </c>
      <c r="H266" s="415">
        <v>38</v>
      </c>
      <c r="I266" s="415">
        <v>37</v>
      </c>
      <c r="J266" s="415">
        <v>36.1</v>
      </c>
      <c r="K266" s="415">
        <v>35.2</v>
      </c>
    </row>
    <row r="267" ht="12.75" customHeight="1" spans="1:11" x14ac:dyDescent="0.25">
      <c r="A267" s="220">
        <v>90</v>
      </c>
      <c r="B267" s="415">
        <v>43.7</v>
      </c>
      <c r="C267" s="415">
        <v>42.7</v>
      </c>
      <c r="D267" s="415">
        <v>41.7</v>
      </c>
      <c r="E267" s="415">
        <v>40.8</v>
      </c>
      <c r="F267" s="415">
        <v>39.8</v>
      </c>
      <c r="G267" s="415">
        <v>38.9</v>
      </c>
      <c r="H267" s="415">
        <v>38</v>
      </c>
      <c r="I267" s="415">
        <v>37</v>
      </c>
      <c r="J267" s="415">
        <v>36.1</v>
      </c>
      <c r="K267" s="415">
        <v>35.2</v>
      </c>
    </row>
    <row r="268" ht="12.75" customHeight="1" spans="1:11" x14ac:dyDescent="0.25">
      <c r="A268" s="220">
        <v>91</v>
      </c>
      <c r="B268" s="415">
        <v>43.7</v>
      </c>
      <c r="C268" s="415">
        <v>42.7</v>
      </c>
      <c r="D268" s="415">
        <v>41.7</v>
      </c>
      <c r="E268" s="415">
        <v>40.8</v>
      </c>
      <c r="F268" s="415">
        <v>39.8</v>
      </c>
      <c r="G268" s="415">
        <v>38.9</v>
      </c>
      <c r="H268" s="415">
        <v>37.9</v>
      </c>
      <c r="I268" s="415">
        <v>37</v>
      </c>
      <c r="J268" s="415">
        <v>36.1</v>
      </c>
      <c r="K268" s="415">
        <v>35.2</v>
      </c>
    </row>
    <row r="269" ht="12.75" customHeight="1" spans="1:11" x14ac:dyDescent="0.25">
      <c r="A269" s="220">
        <v>92</v>
      </c>
      <c r="B269" s="415">
        <v>43.7</v>
      </c>
      <c r="C269" s="415">
        <v>42.7</v>
      </c>
      <c r="D269" s="415">
        <v>41.7</v>
      </c>
      <c r="E269" s="415">
        <v>40.8</v>
      </c>
      <c r="F269" s="415">
        <v>39.8</v>
      </c>
      <c r="G269" s="415">
        <v>38.9</v>
      </c>
      <c r="H269" s="415">
        <v>37.9</v>
      </c>
      <c r="I269" s="415">
        <v>37</v>
      </c>
      <c r="J269" s="415">
        <v>36.1</v>
      </c>
      <c r="K269" s="415">
        <v>35.1</v>
      </c>
    </row>
    <row r="270" ht="12.75" customHeight="1" spans="1:11" x14ac:dyDescent="0.25">
      <c r="A270" s="220">
        <v>93</v>
      </c>
      <c r="B270" s="415">
        <v>43.7</v>
      </c>
      <c r="C270" s="415">
        <v>42.7</v>
      </c>
      <c r="D270" s="415">
        <v>41.7</v>
      </c>
      <c r="E270" s="415">
        <v>40.8</v>
      </c>
      <c r="F270" s="415">
        <v>39.8</v>
      </c>
      <c r="G270" s="415">
        <v>38.9</v>
      </c>
      <c r="H270" s="415">
        <v>37.9</v>
      </c>
      <c r="I270" s="415">
        <v>37</v>
      </c>
      <c r="J270" s="415">
        <v>36.1</v>
      </c>
      <c r="K270" s="415">
        <v>35.1</v>
      </c>
    </row>
    <row r="271" ht="12.75" customHeight="1" spans="1:11" x14ac:dyDescent="0.25">
      <c r="A271" s="220">
        <v>94</v>
      </c>
      <c r="B271" s="415">
        <v>43.7</v>
      </c>
      <c r="C271" s="415">
        <v>42.7</v>
      </c>
      <c r="D271" s="415">
        <v>41.7</v>
      </c>
      <c r="E271" s="415">
        <v>40.8</v>
      </c>
      <c r="F271" s="415">
        <v>39.8</v>
      </c>
      <c r="G271" s="415">
        <v>38.9</v>
      </c>
      <c r="H271" s="415">
        <v>37.9</v>
      </c>
      <c r="I271" s="415">
        <v>37</v>
      </c>
      <c r="J271" s="415">
        <v>36.1</v>
      </c>
      <c r="K271" s="415">
        <v>35.1</v>
      </c>
    </row>
    <row r="272" ht="12.75" customHeight="1" spans="1:11" x14ac:dyDescent="0.25">
      <c r="A272" s="220">
        <v>95</v>
      </c>
      <c r="B272" s="415">
        <v>43.6</v>
      </c>
      <c r="C272" s="415">
        <v>42.7</v>
      </c>
      <c r="D272" s="415">
        <v>41.7</v>
      </c>
      <c r="E272" s="415">
        <v>40.8</v>
      </c>
      <c r="F272" s="415">
        <v>39.8</v>
      </c>
      <c r="G272" s="415">
        <v>38.9</v>
      </c>
      <c r="H272" s="415">
        <v>37.9</v>
      </c>
      <c r="I272" s="415">
        <v>37</v>
      </c>
      <c r="J272" s="415">
        <v>36.1</v>
      </c>
      <c r="K272" s="415">
        <v>35.1</v>
      </c>
    </row>
    <row r="273" ht="12.75" customHeight="1" spans="1:11" x14ac:dyDescent="0.25">
      <c r="A273" s="220">
        <v>96</v>
      </c>
      <c r="B273" s="415">
        <v>43.6</v>
      </c>
      <c r="C273" s="415">
        <v>42.7</v>
      </c>
      <c r="D273" s="415">
        <v>41.7</v>
      </c>
      <c r="E273" s="415">
        <v>40.8</v>
      </c>
      <c r="F273" s="415">
        <v>39.8</v>
      </c>
      <c r="G273" s="415">
        <v>38.9</v>
      </c>
      <c r="H273" s="415">
        <v>37.9</v>
      </c>
      <c r="I273" s="415">
        <v>37</v>
      </c>
      <c r="J273" s="415">
        <v>36.1</v>
      </c>
      <c r="K273" s="415">
        <v>35.1</v>
      </c>
    </row>
    <row r="274" ht="12.75" customHeight="1" spans="1:11" x14ac:dyDescent="0.25">
      <c r="A274" s="220">
        <v>97</v>
      </c>
      <c r="B274" s="415">
        <v>43.6</v>
      </c>
      <c r="C274" s="415">
        <v>42.7</v>
      </c>
      <c r="D274" s="415">
        <v>41.7</v>
      </c>
      <c r="E274" s="415">
        <v>40.8</v>
      </c>
      <c r="F274" s="415">
        <v>39.8</v>
      </c>
      <c r="G274" s="415">
        <v>38.9</v>
      </c>
      <c r="H274" s="415">
        <v>37.9</v>
      </c>
      <c r="I274" s="415">
        <v>37</v>
      </c>
      <c r="J274" s="415">
        <v>36.1</v>
      </c>
      <c r="K274" s="415">
        <v>35.1</v>
      </c>
    </row>
    <row r="275" ht="12.75" customHeight="1" spans="1:11" x14ac:dyDescent="0.25">
      <c r="A275" s="220">
        <v>98</v>
      </c>
      <c r="B275" s="415">
        <v>43.6</v>
      </c>
      <c r="C275" s="415">
        <v>42.7</v>
      </c>
      <c r="D275" s="415">
        <v>41.7</v>
      </c>
      <c r="E275" s="415">
        <v>40.8</v>
      </c>
      <c r="F275" s="415">
        <v>39.8</v>
      </c>
      <c r="G275" s="415">
        <v>38.9</v>
      </c>
      <c r="H275" s="415">
        <v>37.9</v>
      </c>
      <c r="I275" s="415">
        <v>37</v>
      </c>
      <c r="J275" s="415">
        <v>36</v>
      </c>
      <c r="K275" s="415">
        <v>35.1</v>
      </c>
    </row>
    <row r="276" ht="12.75" customHeight="1" spans="1:11" x14ac:dyDescent="0.25">
      <c r="A276" s="220">
        <v>99</v>
      </c>
      <c r="B276" s="415">
        <v>43.6</v>
      </c>
      <c r="C276" s="415">
        <v>42.7</v>
      </c>
      <c r="D276" s="415">
        <v>41.7</v>
      </c>
      <c r="E276" s="415">
        <v>40.8</v>
      </c>
      <c r="F276" s="415">
        <v>39.8</v>
      </c>
      <c r="G276" s="415">
        <v>38.9</v>
      </c>
      <c r="H276" s="415">
        <v>37.9</v>
      </c>
      <c r="I276" s="415">
        <v>37</v>
      </c>
      <c r="J276" s="415">
        <v>36</v>
      </c>
      <c r="K276" s="415">
        <v>35.1</v>
      </c>
    </row>
    <row r="277" ht="12.75" customHeight="1" spans="1:11" x14ac:dyDescent="0.25">
      <c r="A277" s="220">
        <v>100</v>
      </c>
      <c r="B277" s="415">
        <v>43.6</v>
      </c>
      <c r="C277" s="415">
        <v>42.7</v>
      </c>
      <c r="D277" s="415">
        <v>41.7</v>
      </c>
      <c r="E277" s="415">
        <v>40.8</v>
      </c>
      <c r="F277" s="415">
        <v>39.8</v>
      </c>
      <c r="G277" s="415">
        <v>38.9</v>
      </c>
      <c r="H277" s="415">
        <v>37.9</v>
      </c>
      <c r="I277" s="415">
        <v>37</v>
      </c>
      <c r="J277" s="415">
        <v>36</v>
      </c>
      <c r="K277" s="415">
        <v>35.1</v>
      </c>
    </row>
    <row r="278" ht="12.75" customHeight="1" spans="1:11" x14ac:dyDescent="0.25">
      <c r="A278" s="220">
        <v>101</v>
      </c>
      <c r="B278" s="415">
        <v>43.6</v>
      </c>
      <c r="C278" s="415">
        <v>42.7</v>
      </c>
      <c r="D278" s="415">
        <v>41.7</v>
      </c>
      <c r="E278" s="415">
        <v>40.8</v>
      </c>
      <c r="F278" s="415">
        <v>39.8</v>
      </c>
      <c r="G278" s="415">
        <v>38.9</v>
      </c>
      <c r="H278" s="415">
        <v>37.9</v>
      </c>
      <c r="I278" s="415">
        <v>37</v>
      </c>
      <c r="J278" s="415">
        <v>36</v>
      </c>
      <c r="K278" s="415">
        <v>35.1</v>
      </c>
    </row>
    <row r="279" ht="12.75" customHeight="1" spans="1:11" x14ac:dyDescent="0.25">
      <c r="A279" s="220">
        <v>102</v>
      </c>
      <c r="B279" s="415">
        <v>43.6</v>
      </c>
      <c r="C279" s="415">
        <v>42.7</v>
      </c>
      <c r="D279" s="415">
        <v>41.7</v>
      </c>
      <c r="E279" s="415">
        <v>40.8</v>
      </c>
      <c r="F279" s="415">
        <v>39.8</v>
      </c>
      <c r="G279" s="415">
        <v>38.9</v>
      </c>
      <c r="H279" s="415">
        <v>37.9</v>
      </c>
      <c r="I279" s="415">
        <v>37</v>
      </c>
      <c r="J279" s="415">
        <v>36</v>
      </c>
      <c r="K279" s="415">
        <v>35.1</v>
      </c>
    </row>
    <row r="280" ht="12.75" customHeight="1" spans="1:11" x14ac:dyDescent="0.25">
      <c r="A280" s="220">
        <v>103</v>
      </c>
      <c r="B280" s="415">
        <v>43.6</v>
      </c>
      <c r="C280" s="415">
        <v>42.7</v>
      </c>
      <c r="D280" s="415">
        <v>41.7</v>
      </c>
      <c r="E280" s="415">
        <v>40.8</v>
      </c>
      <c r="F280" s="415">
        <v>39.8</v>
      </c>
      <c r="G280" s="415">
        <v>38.9</v>
      </c>
      <c r="H280" s="415">
        <v>37.9</v>
      </c>
      <c r="I280" s="415">
        <v>37</v>
      </c>
      <c r="J280" s="415">
        <v>36</v>
      </c>
      <c r="K280" s="415">
        <v>35.1</v>
      </c>
    </row>
    <row r="281" ht="12.75" customHeight="1" spans="1:11" x14ac:dyDescent="0.25">
      <c r="A281" s="220">
        <v>104</v>
      </c>
      <c r="B281" s="415">
        <v>43.6</v>
      </c>
      <c r="C281" s="415">
        <v>42.7</v>
      </c>
      <c r="D281" s="415">
        <v>41.7</v>
      </c>
      <c r="E281" s="415">
        <v>40.8</v>
      </c>
      <c r="F281" s="415">
        <v>39.8</v>
      </c>
      <c r="G281" s="415">
        <v>38.8</v>
      </c>
      <c r="H281" s="415">
        <v>37.9</v>
      </c>
      <c r="I281" s="415">
        <v>37</v>
      </c>
      <c r="J281" s="415">
        <v>36</v>
      </c>
      <c r="K281" s="415">
        <v>35.1</v>
      </c>
    </row>
    <row r="282" ht="12.75" customHeight="1" spans="1:11" x14ac:dyDescent="0.25">
      <c r="A282" s="220">
        <v>105</v>
      </c>
      <c r="B282" s="415">
        <v>43.6</v>
      </c>
      <c r="C282" s="415">
        <v>42.7</v>
      </c>
      <c r="D282" s="415">
        <v>41.7</v>
      </c>
      <c r="E282" s="415">
        <v>40.8</v>
      </c>
      <c r="F282" s="415">
        <v>39.8</v>
      </c>
      <c r="G282" s="415">
        <v>38.8</v>
      </c>
      <c r="H282" s="415">
        <v>37.9</v>
      </c>
      <c r="I282" s="415">
        <v>37</v>
      </c>
      <c r="J282" s="415">
        <v>36</v>
      </c>
      <c r="K282" s="415">
        <v>35.1</v>
      </c>
    </row>
    <row r="283" ht="12.75" customHeight="1" spans="1:11" x14ac:dyDescent="0.25">
      <c r="A283" s="220">
        <v>106</v>
      </c>
      <c r="B283" s="415">
        <v>43.6</v>
      </c>
      <c r="C283" s="415">
        <v>42.7</v>
      </c>
      <c r="D283" s="415">
        <v>41.7</v>
      </c>
      <c r="E283" s="415">
        <v>40.8</v>
      </c>
      <c r="F283" s="415">
        <v>39.8</v>
      </c>
      <c r="G283" s="415">
        <v>38.8</v>
      </c>
      <c r="H283" s="415">
        <v>37.9</v>
      </c>
      <c r="I283" s="415">
        <v>37</v>
      </c>
      <c r="J283" s="415">
        <v>36</v>
      </c>
      <c r="K283" s="415">
        <v>35.1</v>
      </c>
    </row>
    <row r="284" ht="12.75" customHeight="1" spans="1:11" x14ac:dyDescent="0.25">
      <c r="A284" s="220">
        <v>107</v>
      </c>
      <c r="B284" s="415">
        <v>43.6</v>
      </c>
      <c r="C284" s="415">
        <v>42.7</v>
      </c>
      <c r="D284" s="415">
        <v>41.7</v>
      </c>
      <c r="E284" s="415">
        <v>40.8</v>
      </c>
      <c r="F284" s="415">
        <v>39.8</v>
      </c>
      <c r="G284" s="415">
        <v>38.8</v>
      </c>
      <c r="H284" s="415">
        <v>37.9</v>
      </c>
      <c r="I284" s="415">
        <v>37</v>
      </c>
      <c r="J284" s="415">
        <v>36</v>
      </c>
      <c r="K284" s="415">
        <v>35.1</v>
      </c>
    </row>
    <row r="285" ht="12.75" customHeight="1" spans="1:11" x14ac:dyDescent="0.25">
      <c r="A285" s="220">
        <v>108</v>
      </c>
      <c r="B285" s="415">
        <v>43.6</v>
      </c>
      <c r="C285" s="415">
        <v>42.7</v>
      </c>
      <c r="D285" s="415">
        <v>41.7</v>
      </c>
      <c r="E285" s="415">
        <v>40.8</v>
      </c>
      <c r="F285" s="415">
        <v>39.8</v>
      </c>
      <c r="G285" s="415">
        <v>38.8</v>
      </c>
      <c r="H285" s="415">
        <v>37.9</v>
      </c>
      <c r="I285" s="415">
        <v>37</v>
      </c>
      <c r="J285" s="415">
        <v>36</v>
      </c>
      <c r="K285" s="415">
        <v>35.1</v>
      </c>
    </row>
    <row r="286" ht="12.75" customHeight="1" spans="1:11" x14ac:dyDescent="0.25">
      <c r="A286" s="220">
        <v>109</v>
      </c>
      <c r="B286" s="415">
        <v>43.6</v>
      </c>
      <c r="C286" s="415">
        <v>42.7</v>
      </c>
      <c r="D286" s="415">
        <v>41.7</v>
      </c>
      <c r="E286" s="415">
        <v>40.7</v>
      </c>
      <c r="F286" s="415">
        <v>39.8</v>
      </c>
      <c r="G286" s="415">
        <v>38.8</v>
      </c>
      <c r="H286" s="415">
        <v>37.9</v>
      </c>
      <c r="I286" s="415">
        <v>37</v>
      </c>
      <c r="J286" s="415">
        <v>36</v>
      </c>
      <c r="K286" s="415">
        <v>35.1</v>
      </c>
    </row>
    <row r="287" ht="12.75" customHeight="1" spans="1:11" x14ac:dyDescent="0.25">
      <c r="A287" s="220">
        <v>110</v>
      </c>
      <c r="B287" s="415">
        <v>43.6</v>
      </c>
      <c r="C287" s="415">
        <v>42.7</v>
      </c>
      <c r="D287" s="415">
        <v>41.7</v>
      </c>
      <c r="E287" s="415">
        <v>40.7</v>
      </c>
      <c r="F287" s="415">
        <v>39.8</v>
      </c>
      <c r="G287" s="415">
        <v>38.8</v>
      </c>
      <c r="H287" s="415">
        <v>37.9</v>
      </c>
      <c r="I287" s="415">
        <v>37</v>
      </c>
      <c r="J287" s="415">
        <v>36</v>
      </c>
      <c r="K287" s="415">
        <v>35.1</v>
      </c>
    </row>
    <row r="288" ht="12.75" customHeight="1" spans="1:11" x14ac:dyDescent="0.25">
      <c r="A288" s="220">
        <v>111</v>
      </c>
      <c r="B288" s="415">
        <v>43.6</v>
      </c>
      <c r="C288" s="415">
        <v>42.7</v>
      </c>
      <c r="D288" s="415">
        <v>41.7</v>
      </c>
      <c r="E288" s="415">
        <v>40.7</v>
      </c>
      <c r="F288" s="415">
        <v>39.8</v>
      </c>
      <c r="G288" s="415">
        <v>38.8</v>
      </c>
      <c r="H288" s="415">
        <v>37.9</v>
      </c>
      <c r="I288" s="415">
        <v>37</v>
      </c>
      <c r="J288" s="415">
        <v>36</v>
      </c>
      <c r="K288" s="415">
        <v>35.1</v>
      </c>
    </row>
    <row r="289" ht="12.75" customHeight="1" spans="1:11" x14ac:dyDescent="0.25">
      <c r="A289" s="220">
        <v>112</v>
      </c>
      <c r="B289" s="415">
        <v>43.6</v>
      </c>
      <c r="C289" s="415">
        <v>42.7</v>
      </c>
      <c r="D289" s="415">
        <v>41.7</v>
      </c>
      <c r="E289" s="415">
        <v>40.7</v>
      </c>
      <c r="F289" s="415">
        <v>39.8</v>
      </c>
      <c r="G289" s="415">
        <v>38.8</v>
      </c>
      <c r="H289" s="415">
        <v>37.9</v>
      </c>
      <c r="I289" s="415">
        <v>37</v>
      </c>
      <c r="J289" s="415">
        <v>36</v>
      </c>
      <c r="K289" s="415">
        <v>35.1</v>
      </c>
    </row>
    <row r="290" ht="12.75" customHeight="1" spans="1:11" x14ac:dyDescent="0.25">
      <c r="A290" s="220">
        <v>113</v>
      </c>
      <c r="B290" s="415">
        <v>43.6</v>
      </c>
      <c r="C290" s="415">
        <v>42.7</v>
      </c>
      <c r="D290" s="415">
        <v>41.7</v>
      </c>
      <c r="E290" s="415">
        <v>40.7</v>
      </c>
      <c r="F290" s="415">
        <v>39.8</v>
      </c>
      <c r="G290" s="415">
        <v>38.8</v>
      </c>
      <c r="H290" s="415">
        <v>37.9</v>
      </c>
      <c r="I290" s="415">
        <v>37</v>
      </c>
      <c r="J290" s="415">
        <v>36</v>
      </c>
      <c r="K290" s="415">
        <v>35.1</v>
      </c>
    </row>
    <row r="291" ht="12.75" customHeight="1" spans="1:11" x14ac:dyDescent="0.25">
      <c r="A291" s="220">
        <v>114</v>
      </c>
      <c r="B291" s="415">
        <v>43.6</v>
      </c>
      <c r="C291" s="415">
        <v>42.7</v>
      </c>
      <c r="D291" s="415">
        <v>41.7</v>
      </c>
      <c r="E291" s="415">
        <v>40.7</v>
      </c>
      <c r="F291" s="415">
        <v>39.8</v>
      </c>
      <c r="G291" s="415">
        <v>38.8</v>
      </c>
      <c r="H291" s="415">
        <v>37.9</v>
      </c>
      <c r="I291" s="415">
        <v>37</v>
      </c>
      <c r="J291" s="415">
        <v>36</v>
      </c>
      <c r="K291" s="415">
        <v>35.1</v>
      </c>
    </row>
    <row r="292" ht="13.5" customHeight="1" spans="1:11" x14ac:dyDescent="0.25">
      <c r="A292" s="220" t="s">
        <v>698</v>
      </c>
      <c r="B292" s="415">
        <v>43.6</v>
      </c>
      <c r="C292" s="415">
        <v>42.7</v>
      </c>
      <c r="D292" s="415">
        <v>41.7</v>
      </c>
      <c r="E292" s="415">
        <v>40.7</v>
      </c>
      <c r="F292" s="415">
        <v>39.8</v>
      </c>
      <c r="G292" s="415">
        <v>38.8</v>
      </c>
      <c r="H292" s="415">
        <v>37.9</v>
      </c>
      <c r="I292" s="415">
        <v>37</v>
      </c>
      <c r="J292" s="415">
        <v>36</v>
      </c>
      <c r="K292" s="415">
        <v>35.1</v>
      </c>
    </row>
    <row r="293" ht="12.75" customHeight="1" spans="1:1" x14ac:dyDescent="0.25">
      <c r="A293" s="20"/>
    </row>
    <row r="294" ht="13.5" customHeight="1" spans="1:11" x14ac:dyDescent="0.25">
      <c r="A294" s="220" t="s">
        <v>697</v>
      </c>
      <c r="B294" s="220">
        <v>50</v>
      </c>
      <c r="C294" s="220">
        <v>51</v>
      </c>
      <c r="D294" s="220">
        <v>52</v>
      </c>
      <c r="E294" s="220">
        <v>53</v>
      </c>
      <c r="F294" s="220">
        <v>54</v>
      </c>
      <c r="G294" s="220">
        <v>55</v>
      </c>
      <c r="H294" s="220">
        <v>56</v>
      </c>
      <c r="I294" s="220">
        <v>57</v>
      </c>
      <c r="J294" s="220">
        <v>58</v>
      </c>
      <c r="K294" s="220">
        <v>59</v>
      </c>
    </row>
    <row r="295" ht="12.75" customHeight="1" spans="1:11" x14ac:dyDescent="0.25">
      <c r="A295" s="220">
        <v>50</v>
      </c>
      <c r="B295" s="415">
        <v>40.4</v>
      </c>
      <c r="C295" s="415">
        <v>40</v>
      </c>
      <c r="D295" s="415">
        <v>39.5</v>
      </c>
      <c r="E295" s="415">
        <v>39.1</v>
      </c>
      <c r="F295" s="415">
        <v>38.7</v>
      </c>
      <c r="G295" s="415">
        <v>38.3</v>
      </c>
      <c r="H295" s="415">
        <v>38</v>
      </c>
      <c r="I295" s="415">
        <v>37.6</v>
      </c>
      <c r="J295" s="415">
        <v>37.3</v>
      </c>
      <c r="K295" s="415">
        <v>37.1</v>
      </c>
    </row>
    <row r="296" ht="12.75" customHeight="1" spans="1:11" x14ac:dyDescent="0.25">
      <c r="A296" s="220">
        <v>51</v>
      </c>
      <c r="B296" s="415">
        <v>40</v>
      </c>
      <c r="C296" s="415">
        <v>39.5</v>
      </c>
      <c r="D296" s="415">
        <v>39</v>
      </c>
      <c r="E296" s="415">
        <v>38.5</v>
      </c>
      <c r="F296" s="415">
        <v>38.1</v>
      </c>
      <c r="G296" s="415">
        <v>37.7</v>
      </c>
      <c r="H296" s="415">
        <v>37.4</v>
      </c>
      <c r="I296" s="415">
        <v>37</v>
      </c>
      <c r="J296" s="415">
        <v>36.7</v>
      </c>
      <c r="K296" s="415">
        <v>36.4</v>
      </c>
    </row>
    <row r="297" ht="12.75" customHeight="1" spans="1:11" x14ac:dyDescent="0.25">
      <c r="A297" s="220">
        <v>52</v>
      </c>
      <c r="B297" s="415">
        <v>39.5</v>
      </c>
      <c r="C297" s="415">
        <v>39</v>
      </c>
      <c r="D297" s="415">
        <v>38.5</v>
      </c>
      <c r="E297" s="415">
        <v>38</v>
      </c>
      <c r="F297" s="415">
        <v>37.6</v>
      </c>
      <c r="G297" s="415">
        <v>37.2</v>
      </c>
      <c r="H297" s="415">
        <v>36.8</v>
      </c>
      <c r="I297" s="415">
        <v>36.4</v>
      </c>
      <c r="J297" s="415">
        <v>36</v>
      </c>
      <c r="K297" s="415">
        <v>35.7</v>
      </c>
    </row>
    <row r="298" ht="12.75" customHeight="1" spans="1:11" x14ac:dyDescent="0.25">
      <c r="A298" s="220">
        <v>53</v>
      </c>
      <c r="B298" s="415">
        <v>39.1</v>
      </c>
      <c r="C298" s="415">
        <v>38.5</v>
      </c>
      <c r="D298" s="415">
        <v>38</v>
      </c>
      <c r="E298" s="415">
        <v>37.5</v>
      </c>
      <c r="F298" s="415">
        <v>37.1</v>
      </c>
      <c r="G298" s="415">
        <v>36.6</v>
      </c>
      <c r="H298" s="415">
        <v>36.2</v>
      </c>
      <c r="I298" s="415">
        <v>35.8</v>
      </c>
      <c r="J298" s="415">
        <v>35.4</v>
      </c>
      <c r="K298" s="415">
        <v>35.1</v>
      </c>
    </row>
    <row r="299" ht="12.75" customHeight="1" spans="1:11" x14ac:dyDescent="0.25">
      <c r="A299" s="220">
        <v>54</v>
      </c>
      <c r="B299" s="415">
        <v>38.7</v>
      </c>
      <c r="C299" s="415">
        <v>38.1</v>
      </c>
      <c r="D299" s="415">
        <v>37.6</v>
      </c>
      <c r="E299" s="415">
        <v>37.1</v>
      </c>
      <c r="F299" s="415">
        <v>36.6</v>
      </c>
      <c r="G299" s="415">
        <v>36.1</v>
      </c>
      <c r="H299" s="415">
        <v>35.7</v>
      </c>
      <c r="I299" s="415">
        <v>35.2</v>
      </c>
      <c r="J299" s="415">
        <v>34.8</v>
      </c>
      <c r="K299" s="415">
        <v>34.5</v>
      </c>
    </row>
    <row r="300" ht="12.75" customHeight="1" spans="1:11" x14ac:dyDescent="0.25">
      <c r="A300" s="220">
        <v>55</v>
      </c>
      <c r="B300" s="415">
        <v>38.3</v>
      </c>
      <c r="C300" s="415">
        <v>37.7</v>
      </c>
      <c r="D300" s="415">
        <v>37.2</v>
      </c>
      <c r="E300" s="415">
        <v>36.6</v>
      </c>
      <c r="F300" s="415">
        <v>36.1</v>
      </c>
      <c r="G300" s="415">
        <v>35.6</v>
      </c>
      <c r="H300" s="415">
        <v>35.1</v>
      </c>
      <c r="I300" s="415">
        <v>34.7</v>
      </c>
      <c r="J300" s="415">
        <v>34.3</v>
      </c>
      <c r="K300" s="415">
        <v>33.9</v>
      </c>
    </row>
    <row r="301" ht="12.75" customHeight="1" spans="1:11" x14ac:dyDescent="0.25">
      <c r="A301" s="220">
        <v>56</v>
      </c>
      <c r="B301" s="415">
        <v>38</v>
      </c>
      <c r="C301" s="415">
        <v>37.4</v>
      </c>
      <c r="D301" s="415">
        <v>36.8</v>
      </c>
      <c r="E301" s="415">
        <v>36.2</v>
      </c>
      <c r="F301" s="415">
        <v>35.7</v>
      </c>
      <c r="G301" s="415">
        <v>35.1</v>
      </c>
      <c r="H301" s="415">
        <v>34.7</v>
      </c>
      <c r="I301" s="415">
        <v>34.2</v>
      </c>
      <c r="J301" s="415">
        <v>33.7</v>
      </c>
      <c r="K301" s="415">
        <v>33.3</v>
      </c>
    </row>
    <row r="302" ht="12.75" customHeight="1" spans="1:11" x14ac:dyDescent="0.25">
      <c r="A302" s="220">
        <v>57</v>
      </c>
      <c r="B302" s="415">
        <v>37.6</v>
      </c>
      <c r="C302" s="415">
        <v>37</v>
      </c>
      <c r="D302" s="415">
        <v>36.4</v>
      </c>
      <c r="E302" s="415">
        <v>35.8</v>
      </c>
      <c r="F302" s="415">
        <v>35.2</v>
      </c>
      <c r="G302" s="415">
        <v>34.7</v>
      </c>
      <c r="H302" s="415">
        <v>34.2</v>
      </c>
      <c r="I302" s="415">
        <v>33.7</v>
      </c>
      <c r="J302" s="415">
        <v>33.2</v>
      </c>
      <c r="K302" s="415">
        <v>32.8</v>
      </c>
    </row>
    <row r="303" ht="12.75" customHeight="1" spans="1:11" x14ac:dyDescent="0.25">
      <c r="A303" s="220">
        <v>58</v>
      </c>
      <c r="B303" s="415">
        <v>37.3</v>
      </c>
      <c r="C303" s="415">
        <v>36.7</v>
      </c>
      <c r="D303" s="415">
        <v>36</v>
      </c>
      <c r="E303" s="415">
        <v>35.4</v>
      </c>
      <c r="F303" s="415">
        <v>34.8</v>
      </c>
      <c r="G303" s="415">
        <v>34.3</v>
      </c>
      <c r="H303" s="415">
        <v>33.7</v>
      </c>
      <c r="I303" s="415">
        <v>33.2</v>
      </c>
      <c r="J303" s="415">
        <v>32.8</v>
      </c>
      <c r="K303" s="415">
        <v>32.3</v>
      </c>
    </row>
    <row r="304" ht="12.75" customHeight="1" spans="1:11" x14ac:dyDescent="0.25">
      <c r="A304" s="220">
        <v>59</v>
      </c>
      <c r="B304" s="415">
        <v>37.1</v>
      </c>
      <c r="C304" s="415">
        <v>36.4</v>
      </c>
      <c r="D304" s="415">
        <v>35.7</v>
      </c>
      <c r="E304" s="415">
        <v>35.1</v>
      </c>
      <c r="F304" s="415">
        <v>34.5</v>
      </c>
      <c r="G304" s="415">
        <v>33.9</v>
      </c>
      <c r="H304" s="415">
        <v>33.3</v>
      </c>
      <c r="I304" s="415">
        <v>32.8</v>
      </c>
      <c r="J304" s="415">
        <v>32.3</v>
      </c>
      <c r="K304" s="415">
        <v>31.8</v>
      </c>
    </row>
    <row r="305" ht="12.75" customHeight="1" spans="1:11" x14ac:dyDescent="0.25">
      <c r="A305" s="220">
        <v>60</v>
      </c>
      <c r="B305" s="415">
        <v>36.8</v>
      </c>
      <c r="C305" s="415">
        <v>36.1</v>
      </c>
      <c r="D305" s="415">
        <v>35.4</v>
      </c>
      <c r="E305" s="415">
        <v>34.8</v>
      </c>
      <c r="F305" s="415">
        <v>34.1</v>
      </c>
      <c r="G305" s="415">
        <v>33.5</v>
      </c>
      <c r="H305" s="415">
        <v>32.9</v>
      </c>
      <c r="I305" s="415">
        <v>32.4</v>
      </c>
      <c r="J305" s="415">
        <v>31.9</v>
      </c>
      <c r="K305" s="415">
        <v>31.3</v>
      </c>
    </row>
    <row r="306" ht="12.75" customHeight="1" spans="1:11" x14ac:dyDescent="0.25">
      <c r="A306" s="220">
        <v>61</v>
      </c>
      <c r="B306" s="415">
        <v>36.6</v>
      </c>
      <c r="C306" s="415">
        <v>35.8</v>
      </c>
      <c r="D306" s="415">
        <v>35.1</v>
      </c>
      <c r="E306" s="415">
        <v>34.5</v>
      </c>
      <c r="F306" s="415">
        <v>33.8</v>
      </c>
      <c r="G306" s="415">
        <v>33.2</v>
      </c>
      <c r="H306" s="415">
        <v>32.6</v>
      </c>
      <c r="I306" s="415">
        <v>32</v>
      </c>
      <c r="J306" s="415">
        <v>31.4</v>
      </c>
      <c r="K306" s="415">
        <v>30.9</v>
      </c>
    </row>
    <row r="307" ht="12.75" customHeight="1" spans="1:11" x14ac:dyDescent="0.25">
      <c r="A307" s="220">
        <v>62</v>
      </c>
      <c r="B307" s="415">
        <v>36.3</v>
      </c>
      <c r="C307" s="415">
        <v>35.6</v>
      </c>
      <c r="D307" s="415">
        <v>34.9</v>
      </c>
      <c r="E307" s="415">
        <v>34.2</v>
      </c>
      <c r="F307" s="415">
        <v>33.5</v>
      </c>
      <c r="G307" s="415">
        <v>32.9</v>
      </c>
      <c r="H307" s="415">
        <v>32.2</v>
      </c>
      <c r="I307" s="415">
        <v>31.6</v>
      </c>
      <c r="J307" s="415">
        <v>31.1</v>
      </c>
      <c r="K307" s="415">
        <v>30.5</v>
      </c>
    </row>
    <row r="308" ht="12.75" customHeight="1" spans="1:11" x14ac:dyDescent="0.25">
      <c r="A308" s="220">
        <v>63</v>
      </c>
      <c r="B308" s="415">
        <v>36.1</v>
      </c>
      <c r="C308" s="415">
        <v>35.4</v>
      </c>
      <c r="D308" s="415">
        <v>34.6</v>
      </c>
      <c r="E308" s="415">
        <v>33.9</v>
      </c>
      <c r="F308" s="415">
        <v>33.2</v>
      </c>
      <c r="G308" s="415">
        <v>32.6</v>
      </c>
      <c r="H308" s="415">
        <v>31.9</v>
      </c>
      <c r="I308" s="415">
        <v>31.3</v>
      </c>
      <c r="J308" s="415">
        <v>30.7</v>
      </c>
      <c r="K308" s="415">
        <v>30.1</v>
      </c>
    </row>
    <row r="309" ht="12.75" customHeight="1" spans="1:11" x14ac:dyDescent="0.25">
      <c r="A309" s="220">
        <v>64</v>
      </c>
      <c r="B309" s="415">
        <v>35.9</v>
      </c>
      <c r="C309" s="415">
        <v>35.2</v>
      </c>
      <c r="D309" s="415">
        <v>34.4</v>
      </c>
      <c r="E309" s="415">
        <v>33.7</v>
      </c>
      <c r="F309" s="415">
        <v>33</v>
      </c>
      <c r="G309" s="415">
        <v>32.3</v>
      </c>
      <c r="H309" s="415">
        <v>31.6</v>
      </c>
      <c r="I309" s="415">
        <v>31</v>
      </c>
      <c r="J309" s="415">
        <v>30.4</v>
      </c>
      <c r="K309" s="415">
        <v>29.8</v>
      </c>
    </row>
    <row r="310" ht="12.75" customHeight="1" spans="1:11" x14ac:dyDescent="0.25">
      <c r="A310" s="220">
        <v>65</v>
      </c>
      <c r="B310" s="415">
        <v>35.8</v>
      </c>
      <c r="C310" s="415">
        <v>35</v>
      </c>
      <c r="D310" s="415">
        <v>34.2</v>
      </c>
      <c r="E310" s="415">
        <v>33.5</v>
      </c>
      <c r="F310" s="415">
        <v>32.7</v>
      </c>
      <c r="G310" s="415">
        <v>32</v>
      </c>
      <c r="H310" s="415">
        <v>31.4</v>
      </c>
      <c r="I310" s="415">
        <v>30.7</v>
      </c>
      <c r="J310" s="415">
        <v>30</v>
      </c>
      <c r="K310" s="415">
        <v>29.4</v>
      </c>
    </row>
    <row r="311" ht="12.75" customHeight="1" spans="1:11" x14ac:dyDescent="0.25">
      <c r="A311" s="220">
        <v>66</v>
      </c>
      <c r="B311" s="415">
        <v>35.6</v>
      </c>
      <c r="C311" s="415">
        <v>34.8</v>
      </c>
      <c r="D311" s="415">
        <v>34</v>
      </c>
      <c r="E311" s="415">
        <v>33.3</v>
      </c>
      <c r="F311" s="415">
        <v>32.5</v>
      </c>
      <c r="G311" s="415">
        <v>31.8</v>
      </c>
      <c r="H311" s="415">
        <v>31.1</v>
      </c>
      <c r="I311" s="415">
        <v>30.4</v>
      </c>
      <c r="J311" s="415">
        <v>29.8</v>
      </c>
      <c r="K311" s="415">
        <v>29.1</v>
      </c>
    </row>
    <row r="312" ht="12.75" customHeight="1" spans="1:11" x14ac:dyDescent="0.25">
      <c r="A312" s="220">
        <v>67</v>
      </c>
      <c r="B312" s="415">
        <v>35.5</v>
      </c>
      <c r="C312" s="415">
        <v>34.7</v>
      </c>
      <c r="D312" s="415">
        <v>33.9</v>
      </c>
      <c r="E312" s="415">
        <v>33.1</v>
      </c>
      <c r="F312" s="415">
        <v>32.3</v>
      </c>
      <c r="G312" s="415">
        <v>31.6</v>
      </c>
      <c r="H312" s="415">
        <v>30.9</v>
      </c>
      <c r="I312" s="415">
        <v>30.2</v>
      </c>
      <c r="J312" s="415">
        <v>29.5</v>
      </c>
      <c r="K312" s="415">
        <v>28.8</v>
      </c>
    </row>
    <row r="313" ht="12.75" customHeight="1" spans="1:11" x14ac:dyDescent="0.25">
      <c r="A313" s="220">
        <v>68</v>
      </c>
      <c r="B313" s="415">
        <v>35.3</v>
      </c>
      <c r="C313" s="415">
        <v>34.5</v>
      </c>
      <c r="D313" s="415">
        <v>33.7</v>
      </c>
      <c r="E313" s="415">
        <v>32.9</v>
      </c>
      <c r="F313" s="415">
        <v>32.1</v>
      </c>
      <c r="G313" s="415">
        <v>31.4</v>
      </c>
      <c r="H313" s="415">
        <v>30.7</v>
      </c>
      <c r="I313" s="415">
        <v>29.9</v>
      </c>
      <c r="J313" s="415">
        <v>29.2</v>
      </c>
      <c r="K313" s="415">
        <v>28.6</v>
      </c>
    </row>
    <row r="314" ht="12.75" customHeight="1" spans="1:11" x14ac:dyDescent="0.25">
      <c r="A314" s="220">
        <v>69</v>
      </c>
      <c r="B314" s="415">
        <v>35.2</v>
      </c>
      <c r="C314" s="415">
        <v>34.4</v>
      </c>
      <c r="D314" s="415">
        <v>33.6</v>
      </c>
      <c r="E314" s="415">
        <v>32.8</v>
      </c>
      <c r="F314" s="415">
        <v>32</v>
      </c>
      <c r="G314" s="415">
        <v>31.2</v>
      </c>
      <c r="H314" s="415">
        <v>30.5</v>
      </c>
      <c r="I314" s="415">
        <v>29.7</v>
      </c>
      <c r="J314" s="415">
        <v>29</v>
      </c>
      <c r="K314" s="415">
        <v>28.3</v>
      </c>
    </row>
    <row r="315" ht="12.75" customHeight="1" spans="1:11" x14ac:dyDescent="0.25">
      <c r="A315" s="220">
        <v>70</v>
      </c>
      <c r="B315" s="415">
        <v>35.1</v>
      </c>
      <c r="C315" s="415">
        <v>34.3</v>
      </c>
      <c r="D315" s="415">
        <v>33.4</v>
      </c>
      <c r="E315" s="415">
        <v>32.6</v>
      </c>
      <c r="F315" s="415">
        <v>31.8</v>
      </c>
      <c r="G315" s="415">
        <v>31.1</v>
      </c>
      <c r="H315" s="415">
        <v>30.3</v>
      </c>
      <c r="I315" s="415">
        <v>29.5</v>
      </c>
      <c r="J315" s="415">
        <v>28.8</v>
      </c>
      <c r="K315" s="415">
        <v>28.1</v>
      </c>
    </row>
    <row r="316" ht="12.75" customHeight="1" spans="1:11" x14ac:dyDescent="0.25">
      <c r="A316" s="220">
        <v>71</v>
      </c>
      <c r="B316" s="415">
        <v>35</v>
      </c>
      <c r="C316" s="415">
        <v>34.2</v>
      </c>
      <c r="D316" s="415">
        <v>33.3</v>
      </c>
      <c r="E316" s="415">
        <v>32.5</v>
      </c>
      <c r="F316" s="415">
        <v>31.7</v>
      </c>
      <c r="G316" s="415">
        <v>30.9</v>
      </c>
      <c r="H316" s="415">
        <v>30.1</v>
      </c>
      <c r="I316" s="415">
        <v>29.4</v>
      </c>
      <c r="J316" s="415">
        <v>28.6</v>
      </c>
      <c r="K316" s="415">
        <v>27.9</v>
      </c>
    </row>
    <row r="317" ht="12.75" customHeight="1" spans="1:11" x14ac:dyDescent="0.25">
      <c r="A317" s="220">
        <v>72</v>
      </c>
      <c r="B317" s="415">
        <v>34.9</v>
      </c>
      <c r="C317" s="415">
        <v>34.1</v>
      </c>
      <c r="D317" s="415">
        <v>33.2</v>
      </c>
      <c r="E317" s="415">
        <v>32.4</v>
      </c>
      <c r="F317" s="415">
        <v>31.6</v>
      </c>
      <c r="G317" s="415">
        <v>30.8</v>
      </c>
      <c r="H317" s="415">
        <v>30</v>
      </c>
      <c r="I317" s="415">
        <v>29.2</v>
      </c>
      <c r="J317" s="415">
        <v>28.4</v>
      </c>
      <c r="K317" s="415">
        <v>27.7</v>
      </c>
    </row>
    <row r="318" ht="12.75" customHeight="1" spans="1:11" x14ac:dyDescent="0.25">
      <c r="A318" s="220">
        <v>73</v>
      </c>
      <c r="B318" s="415">
        <v>34.8</v>
      </c>
      <c r="C318" s="415">
        <v>34</v>
      </c>
      <c r="D318" s="415">
        <v>33.1</v>
      </c>
      <c r="E318" s="415">
        <v>32.3</v>
      </c>
      <c r="F318" s="415">
        <v>31.5</v>
      </c>
      <c r="G318" s="415">
        <v>30.6</v>
      </c>
      <c r="H318" s="415">
        <v>29.8</v>
      </c>
      <c r="I318" s="415">
        <v>29.1</v>
      </c>
      <c r="J318" s="415">
        <v>28.3</v>
      </c>
      <c r="K318" s="415">
        <v>27.5</v>
      </c>
    </row>
    <row r="319" ht="12.75" customHeight="1" spans="1:11" x14ac:dyDescent="0.25">
      <c r="A319" s="220">
        <v>74</v>
      </c>
      <c r="B319" s="415">
        <v>34.8</v>
      </c>
      <c r="C319" s="415">
        <v>33.9</v>
      </c>
      <c r="D319" s="415">
        <v>33</v>
      </c>
      <c r="E319" s="415">
        <v>32.2</v>
      </c>
      <c r="F319" s="415">
        <v>31.4</v>
      </c>
      <c r="G319" s="415">
        <v>30.5</v>
      </c>
      <c r="H319" s="415">
        <v>29.7</v>
      </c>
      <c r="I319" s="415">
        <v>28.9</v>
      </c>
      <c r="J319" s="415">
        <v>28.1</v>
      </c>
      <c r="K319" s="415">
        <v>27.4</v>
      </c>
    </row>
    <row r="320" ht="12.75" customHeight="1" spans="1:11" x14ac:dyDescent="0.25">
      <c r="A320" s="220">
        <v>75</v>
      </c>
      <c r="B320" s="415">
        <v>34.7</v>
      </c>
      <c r="C320" s="415">
        <v>33.8</v>
      </c>
      <c r="D320" s="415">
        <v>33</v>
      </c>
      <c r="E320" s="415">
        <v>32.1</v>
      </c>
      <c r="F320" s="415">
        <v>31.3</v>
      </c>
      <c r="G320" s="415">
        <v>30.4</v>
      </c>
      <c r="H320" s="415">
        <v>29.6</v>
      </c>
      <c r="I320" s="415">
        <v>28.8</v>
      </c>
      <c r="J320" s="415">
        <v>28</v>
      </c>
      <c r="K320" s="415">
        <v>27.2</v>
      </c>
    </row>
    <row r="321" ht="12.75" customHeight="1" spans="1:11" x14ac:dyDescent="0.25">
      <c r="A321" s="220">
        <v>76</v>
      </c>
      <c r="B321" s="415">
        <v>34.6</v>
      </c>
      <c r="C321" s="415">
        <v>33.8</v>
      </c>
      <c r="D321" s="415">
        <v>32.9</v>
      </c>
      <c r="E321" s="415">
        <v>32</v>
      </c>
      <c r="F321" s="415">
        <v>31.2</v>
      </c>
      <c r="G321" s="415">
        <v>30.3</v>
      </c>
      <c r="H321" s="415">
        <v>29.5</v>
      </c>
      <c r="I321" s="415">
        <v>28.7</v>
      </c>
      <c r="J321" s="415">
        <v>27.9</v>
      </c>
      <c r="K321" s="415">
        <v>27.1</v>
      </c>
    </row>
    <row r="322" ht="12.75" customHeight="1" spans="1:11" x14ac:dyDescent="0.25">
      <c r="A322" s="220">
        <v>77</v>
      </c>
      <c r="B322" s="415">
        <v>34.6</v>
      </c>
      <c r="C322" s="415">
        <v>33.7</v>
      </c>
      <c r="D322" s="415">
        <v>32.8</v>
      </c>
      <c r="E322" s="415">
        <v>32</v>
      </c>
      <c r="F322" s="415">
        <v>31.1</v>
      </c>
      <c r="G322" s="415">
        <v>30.3</v>
      </c>
      <c r="H322" s="415">
        <v>29.4</v>
      </c>
      <c r="I322" s="415">
        <v>28.6</v>
      </c>
      <c r="J322" s="415">
        <v>27.8</v>
      </c>
      <c r="K322" s="415">
        <v>27</v>
      </c>
    </row>
    <row r="323" ht="12.75" customHeight="1" spans="1:11" x14ac:dyDescent="0.25">
      <c r="A323" s="220">
        <v>78</v>
      </c>
      <c r="B323" s="415">
        <v>34.5</v>
      </c>
      <c r="C323" s="415">
        <v>33.6</v>
      </c>
      <c r="D323" s="415">
        <v>32.8</v>
      </c>
      <c r="E323" s="415">
        <v>31.9</v>
      </c>
      <c r="F323" s="415">
        <v>31</v>
      </c>
      <c r="G323" s="415">
        <v>30.2</v>
      </c>
      <c r="H323" s="415">
        <v>29.3</v>
      </c>
      <c r="I323" s="415">
        <v>28.5</v>
      </c>
      <c r="J323" s="415">
        <v>27.7</v>
      </c>
      <c r="K323" s="415">
        <v>26.9</v>
      </c>
    </row>
    <row r="324" ht="12.75" customHeight="1" spans="1:11" x14ac:dyDescent="0.25">
      <c r="A324" s="220">
        <v>79</v>
      </c>
      <c r="B324" s="415">
        <v>34.5</v>
      </c>
      <c r="C324" s="415">
        <v>33.6</v>
      </c>
      <c r="D324" s="415">
        <v>32.7</v>
      </c>
      <c r="E324" s="415">
        <v>31.8</v>
      </c>
      <c r="F324" s="415">
        <v>31</v>
      </c>
      <c r="G324" s="415">
        <v>30.1</v>
      </c>
      <c r="H324" s="415">
        <v>29.3</v>
      </c>
      <c r="I324" s="415">
        <v>28.4</v>
      </c>
      <c r="J324" s="415">
        <v>27.6</v>
      </c>
      <c r="K324" s="415">
        <v>26.8</v>
      </c>
    </row>
    <row r="325" ht="12.75" customHeight="1" spans="1:11" x14ac:dyDescent="0.25">
      <c r="A325" s="220">
        <v>80</v>
      </c>
      <c r="B325" s="415">
        <v>34.5</v>
      </c>
      <c r="C325" s="415">
        <v>33.6</v>
      </c>
      <c r="D325" s="415">
        <v>32.7</v>
      </c>
      <c r="E325" s="415">
        <v>31.8</v>
      </c>
      <c r="F325" s="415">
        <v>30.9</v>
      </c>
      <c r="G325" s="415">
        <v>30.1</v>
      </c>
      <c r="H325" s="415">
        <v>29.2</v>
      </c>
      <c r="I325" s="415">
        <v>28.4</v>
      </c>
      <c r="J325" s="415">
        <v>27.5</v>
      </c>
      <c r="K325" s="415">
        <v>26.7</v>
      </c>
    </row>
    <row r="326" ht="12.75" customHeight="1" spans="1:11" x14ac:dyDescent="0.25">
      <c r="A326" s="220">
        <v>81</v>
      </c>
      <c r="B326" s="415">
        <v>34.4</v>
      </c>
      <c r="C326" s="415">
        <v>33.5</v>
      </c>
      <c r="D326" s="415">
        <v>32.6</v>
      </c>
      <c r="E326" s="415">
        <v>31.8</v>
      </c>
      <c r="F326" s="415">
        <v>30.9</v>
      </c>
      <c r="G326" s="415">
        <v>30</v>
      </c>
      <c r="H326" s="415">
        <v>29.2</v>
      </c>
      <c r="I326" s="415">
        <v>28.3</v>
      </c>
      <c r="J326" s="415">
        <v>27.5</v>
      </c>
      <c r="K326" s="415">
        <v>26.6</v>
      </c>
    </row>
    <row r="327" ht="12.75" customHeight="1" spans="1:11" x14ac:dyDescent="0.25">
      <c r="A327" s="220">
        <v>82</v>
      </c>
      <c r="B327" s="415">
        <v>34.4</v>
      </c>
      <c r="C327" s="415">
        <v>33.5</v>
      </c>
      <c r="D327" s="415">
        <v>32.6</v>
      </c>
      <c r="E327" s="415">
        <v>31.7</v>
      </c>
      <c r="F327" s="415">
        <v>30.8</v>
      </c>
      <c r="G327" s="415">
        <v>30</v>
      </c>
      <c r="H327" s="415">
        <v>29.1</v>
      </c>
      <c r="I327" s="415">
        <v>28.3</v>
      </c>
      <c r="J327" s="415">
        <v>27.4</v>
      </c>
      <c r="K327" s="415">
        <v>26.6</v>
      </c>
    </row>
    <row r="328" ht="12.75" customHeight="1" spans="1:11" x14ac:dyDescent="0.25">
      <c r="A328" s="220">
        <v>83</v>
      </c>
      <c r="B328" s="415">
        <v>34.4</v>
      </c>
      <c r="C328" s="415">
        <v>33.5</v>
      </c>
      <c r="D328" s="415">
        <v>32.6</v>
      </c>
      <c r="E328" s="415">
        <v>31.7</v>
      </c>
      <c r="F328" s="415">
        <v>30.8</v>
      </c>
      <c r="G328" s="415">
        <v>29.9</v>
      </c>
      <c r="H328" s="415">
        <v>29.1</v>
      </c>
      <c r="I328" s="415">
        <v>28.2</v>
      </c>
      <c r="J328" s="415">
        <v>27.4</v>
      </c>
      <c r="K328" s="415">
        <v>26.5</v>
      </c>
    </row>
    <row r="329" ht="12.75" customHeight="1" spans="1:11" x14ac:dyDescent="0.25">
      <c r="A329" s="220">
        <v>84</v>
      </c>
      <c r="B329" s="415">
        <v>34.3</v>
      </c>
      <c r="C329" s="415">
        <v>33.4</v>
      </c>
      <c r="D329" s="415">
        <v>32.5</v>
      </c>
      <c r="E329" s="415">
        <v>31.7</v>
      </c>
      <c r="F329" s="415">
        <v>30.8</v>
      </c>
      <c r="G329" s="415">
        <v>29.9</v>
      </c>
      <c r="H329" s="415">
        <v>29</v>
      </c>
      <c r="I329" s="415">
        <v>28.2</v>
      </c>
      <c r="J329" s="415">
        <v>27.3</v>
      </c>
      <c r="K329" s="415">
        <v>26.5</v>
      </c>
    </row>
    <row r="330" ht="12.75" customHeight="1" spans="1:11" x14ac:dyDescent="0.25">
      <c r="A330" s="220">
        <v>85</v>
      </c>
      <c r="B330" s="415">
        <v>34.3</v>
      </c>
      <c r="C330" s="415">
        <v>33.4</v>
      </c>
      <c r="D330" s="415">
        <v>32.5</v>
      </c>
      <c r="E330" s="415">
        <v>31.6</v>
      </c>
      <c r="F330" s="415">
        <v>30.7</v>
      </c>
      <c r="G330" s="415">
        <v>29.9</v>
      </c>
      <c r="H330" s="415">
        <v>29</v>
      </c>
      <c r="I330" s="415">
        <v>28.1</v>
      </c>
      <c r="J330" s="415">
        <v>27.3</v>
      </c>
      <c r="K330" s="415">
        <v>26.4</v>
      </c>
    </row>
    <row r="331" ht="12.75" customHeight="1" spans="1:11" x14ac:dyDescent="0.25">
      <c r="A331" s="220">
        <v>86</v>
      </c>
      <c r="B331" s="415">
        <v>34.3</v>
      </c>
      <c r="C331" s="415">
        <v>33.4</v>
      </c>
      <c r="D331" s="415">
        <v>32.5</v>
      </c>
      <c r="E331" s="415">
        <v>31.6</v>
      </c>
      <c r="F331" s="415">
        <v>30.7</v>
      </c>
      <c r="G331" s="415">
        <v>29.8</v>
      </c>
      <c r="H331" s="415">
        <v>29</v>
      </c>
      <c r="I331" s="415">
        <v>28.1</v>
      </c>
      <c r="J331" s="415">
        <v>27.2</v>
      </c>
      <c r="K331" s="415">
        <v>26.4</v>
      </c>
    </row>
    <row r="332" ht="12.75" customHeight="1" spans="1:11" x14ac:dyDescent="0.25">
      <c r="A332" s="220">
        <v>87</v>
      </c>
      <c r="B332" s="415">
        <v>34.3</v>
      </c>
      <c r="C332" s="415">
        <v>33.4</v>
      </c>
      <c r="D332" s="415">
        <v>32.5</v>
      </c>
      <c r="E332" s="415">
        <v>31.6</v>
      </c>
      <c r="F332" s="415">
        <v>30.7</v>
      </c>
      <c r="G332" s="415">
        <v>29.8</v>
      </c>
      <c r="H332" s="415">
        <v>28.9</v>
      </c>
      <c r="I332" s="415">
        <v>28.1</v>
      </c>
      <c r="J332" s="415">
        <v>27.2</v>
      </c>
      <c r="K332" s="415">
        <v>26.4</v>
      </c>
    </row>
    <row r="333" ht="12.75" customHeight="1" spans="1:11" x14ac:dyDescent="0.25">
      <c r="A333" s="220">
        <v>88</v>
      </c>
      <c r="B333" s="415">
        <v>34.3</v>
      </c>
      <c r="C333" s="415">
        <v>33.4</v>
      </c>
      <c r="D333" s="415">
        <v>32.5</v>
      </c>
      <c r="E333" s="415">
        <v>31.6</v>
      </c>
      <c r="F333" s="415">
        <v>30.7</v>
      </c>
      <c r="G333" s="415">
        <v>29.8</v>
      </c>
      <c r="H333" s="415">
        <v>28.9</v>
      </c>
      <c r="I333" s="415">
        <v>28</v>
      </c>
      <c r="J333" s="415">
        <v>27.2</v>
      </c>
      <c r="K333" s="415">
        <v>26.3</v>
      </c>
    </row>
    <row r="334" ht="12.75" customHeight="1" spans="1:11" x14ac:dyDescent="0.25">
      <c r="A334" s="220">
        <v>89</v>
      </c>
      <c r="B334" s="415">
        <v>34.3</v>
      </c>
      <c r="C334" s="415">
        <v>33.3</v>
      </c>
      <c r="D334" s="415">
        <v>32.4</v>
      </c>
      <c r="E334" s="415">
        <v>31.5</v>
      </c>
      <c r="F334" s="415">
        <v>30.7</v>
      </c>
      <c r="G334" s="415">
        <v>29.8</v>
      </c>
      <c r="H334" s="415">
        <v>28.9</v>
      </c>
      <c r="I334" s="415">
        <v>28</v>
      </c>
      <c r="J334" s="415">
        <v>27.2</v>
      </c>
      <c r="K334" s="415">
        <v>26.3</v>
      </c>
    </row>
    <row r="335" ht="12.75" customHeight="1" spans="1:11" x14ac:dyDescent="0.25">
      <c r="A335" s="220">
        <v>90</v>
      </c>
      <c r="B335" s="415">
        <v>34.2</v>
      </c>
      <c r="C335" s="415">
        <v>33.3</v>
      </c>
      <c r="D335" s="415">
        <v>32.4</v>
      </c>
      <c r="E335" s="415">
        <v>31.5</v>
      </c>
      <c r="F335" s="415">
        <v>30.6</v>
      </c>
      <c r="G335" s="415">
        <v>29.8</v>
      </c>
      <c r="H335" s="415">
        <v>28.9</v>
      </c>
      <c r="I335" s="415">
        <v>28</v>
      </c>
      <c r="J335" s="415">
        <v>27.1</v>
      </c>
      <c r="K335" s="415">
        <v>26.3</v>
      </c>
    </row>
    <row r="336" ht="12.75" customHeight="1" spans="1:11" x14ac:dyDescent="0.25">
      <c r="A336" s="220">
        <v>91</v>
      </c>
      <c r="B336" s="415">
        <v>34.2</v>
      </c>
      <c r="C336" s="415">
        <v>33.3</v>
      </c>
      <c r="D336" s="415">
        <v>32.4</v>
      </c>
      <c r="E336" s="415">
        <v>31.5</v>
      </c>
      <c r="F336" s="415">
        <v>30.6</v>
      </c>
      <c r="G336" s="415">
        <v>29.7</v>
      </c>
      <c r="H336" s="415">
        <v>28.9</v>
      </c>
      <c r="I336" s="415">
        <v>28</v>
      </c>
      <c r="J336" s="415">
        <v>27.1</v>
      </c>
      <c r="K336" s="415">
        <v>26.3</v>
      </c>
    </row>
    <row r="337" ht="12.75" customHeight="1" spans="1:11" x14ac:dyDescent="0.25">
      <c r="A337" s="220">
        <v>92</v>
      </c>
      <c r="B337" s="415">
        <v>34.2</v>
      </c>
      <c r="C337" s="415">
        <v>33.3</v>
      </c>
      <c r="D337" s="415">
        <v>32.4</v>
      </c>
      <c r="E337" s="415">
        <v>31.5</v>
      </c>
      <c r="F337" s="415">
        <v>30.6</v>
      </c>
      <c r="G337" s="415">
        <v>29.7</v>
      </c>
      <c r="H337" s="415">
        <v>28.8</v>
      </c>
      <c r="I337" s="415">
        <v>28</v>
      </c>
      <c r="J337" s="415">
        <v>27.1</v>
      </c>
      <c r="K337" s="415">
        <v>26.2</v>
      </c>
    </row>
    <row r="338" ht="12.75" customHeight="1" spans="1:11" x14ac:dyDescent="0.25">
      <c r="A338" s="220">
        <v>93</v>
      </c>
      <c r="B338" s="415">
        <v>34.2</v>
      </c>
      <c r="C338" s="415">
        <v>33.3</v>
      </c>
      <c r="D338" s="415">
        <v>32.4</v>
      </c>
      <c r="E338" s="415">
        <v>31.5</v>
      </c>
      <c r="F338" s="415">
        <v>30.6</v>
      </c>
      <c r="G338" s="415">
        <v>29.7</v>
      </c>
      <c r="H338" s="415">
        <v>28.8</v>
      </c>
      <c r="I338" s="415">
        <v>28</v>
      </c>
      <c r="J338" s="415">
        <v>27.1</v>
      </c>
      <c r="K338" s="415">
        <v>26.2</v>
      </c>
    </row>
    <row r="339" ht="12.75" customHeight="1" spans="1:11" x14ac:dyDescent="0.25">
      <c r="A339" s="220">
        <v>94</v>
      </c>
      <c r="B339" s="415">
        <v>34.2</v>
      </c>
      <c r="C339" s="415">
        <v>33.3</v>
      </c>
      <c r="D339" s="415">
        <v>32.4</v>
      </c>
      <c r="E339" s="415">
        <v>31.5</v>
      </c>
      <c r="F339" s="415">
        <v>30.6</v>
      </c>
      <c r="G339" s="415">
        <v>29.7</v>
      </c>
      <c r="H339" s="415">
        <v>28.8</v>
      </c>
      <c r="I339" s="415">
        <v>27.9</v>
      </c>
      <c r="J339" s="415">
        <v>27.1</v>
      </c>
      <c r="K339" s="415">
        <v>26.2</v>
      </c>
    </row>
    <row r="340" ht="12.75" customHeight="1" spans="1:11" x14ac:dyDescent="0.25">
      <c r="A340" s="220">
        <v>95</v>
      </c>
      <c r="B340" s="415">
        <v>34.2</v>
      </c>
      <c r="C340" s="415">
        <v>33.3</v>
      </c>
      <c r="D340" s="415">
        <v>32.4</v>
      </c>
      <c r="E340" s="415">
        <v>31.5</v>
      </c>
      <c r="F340" s="415">
        <v>30.6</v>
      </c>
      <c r="G340" s="415">
        <v>29.7</v>
      </c>
      <c r="H340" s="415">
        <v>28.8</v>
      </c>
      <c r="I340" s="415">
        <v>27.9</v>
      </c>
      <c r="J340" s="415">
        <v>27.1</v>
      </c>
      <c r="K340" s="415">
        <v>26.2</v>
      </c>
    </row>
    <row r="341" ht="12.75" customHeight="1" spans="1:11" x14ac:dyDescent="0.25">
      <c r="A341" s="220">
        <v>96</v>
      </c>
      <c r="B341" s="415">
        <v>34.2</v>
      </c>
      <c r="C341" s="415">
        <v>33.3</v>
      </c>
      <c r="D341" s="415">
        <v>32.4</v>
      </c>
      <c r="E341" s="415">
        <v>31.5</v>
      </c>
      <c r="F341" s="415">
        <v>30.6</v>
      </c>
      <c r="G341" s="415">
        <v>29.7</v>
      </c>
      <c r="H341" s="415">
        <v>28.8</v>
      </c>
      <c r="I341" s="415">
        <v>27.9</v>
      </c>
      <c r="J341" s="415">
        <v>27</v>
      </c>
      <c r="K341" s="415">
        <v>26.2</v>
      </c>
    </row>
    <row r="342" ht="12.75" customHeight="1" spans="1:11" x14ac:dyDescent="0.25">
      <c r="A342" s="220">
        <v>97</v>
      </c>
      <c r="B342" s="415">
        <v>34.2</v>
      </c>
      <c r="C342" s="415">
        <v>33.3</v>
      </c>
      <c r="D342" s="415">
        <v>32.4</v>
      </c>
      <c r="E342" s="415">
        <v>31.5</v>
      </c>
      <c r="F342" s="415">
        <v>30.6</v>
      </c>
      <c r="G342" s="415">
        <v>29.7</v>
      </c>
      <c r="H342" s="415">
        <v>28.8</v>
      </c>
      <c r="I342" s="415">
        <v>27.9</v>
      </c>
      <c r="J342" s="415">
        <v>27</v>
      </c>
      <c r="K342" s="415">
        <v>26.2</v>
      </c>
    </row>
    <row r="343" ht="12.75" customHeight="1" spans="1:11" x14ac:dyDescent="0.25">
      <c r="A343" s="220">
        <v>98</v>
      </c>
      <c r="B343" s="415">
        <v>34.2</v>
      </c>
      <c r="C343" s="415">
        <v>33.3</v>
      </c>
      <c r="D343" s="415">
        <v>32.4</v>
      </c>
      <c r="E343" s="415">
        <v>31.5</v>
      </c>
      <c r="F343" s="415">
        <v>30.6</v>
      </c>
      <c r="G343" s="415">
        <v>29.7</v>
      </c>
      <c r="H343" s="415">
        <v>28.8</v>
      </c>
      <c r="I343" s="415">
        <v>27.9</v>
      </c>
      <c r="J343" s="415">
        <v>27</v>
      </c>
      <c r="K343" s="415">
        <v>26.2</v>
      </c>
    </row>
    <row r="344" ht="12.75" customHeight="1" spans="1:11" x14ac:dyDescent="0.25">
      <c r="A344" s="220">
        <v>99</v>
      </c>
      <c r="B344" s="415">
        <v>34.2</v>
      </c>
      <c r="C344" s="415">
        <v>33.3</v>
      </c>
      <c r="D344" s="415">
        <v>32.4</v>
      </c>
      <c r="E344" s="415">
        <v>31.5</v>
      </c>
      <c r="F344" s="415">
        <v>30.6</v>
      </c>
      <c r="G344" s="415">
        <v>29.7</v>
      </c>
      <c r="H344" s="415">
        <v>28.8</v>
      </c>
      <c r="I344" s="415">
        <v>27.9</v>
      </c>
      <c r="J344" s="415">
        <v>27</v>
      </c>
      <c r="K344" s="415">
        <v>26.2</v>
      </c>
    </row>
    <row r="345" ht="12.75" customHeight="1" spans="1:11" x14ac:dyDescent="0.25">
      <c r="A345" s="220">
        <v>100</v>
      </c>
      <c r="B345" s="415">
        <v>34.2</v>
      </c>
      <c r="C345" s="415">
        <v>33.3</v>
      </c>
      <c r="D345" s="415">
        <v>32.4</v>
      </c>
      <c r="E345" s="415">
        <v>31.5</v>
      </c>
      <c r="F345" s="415">
        <v>30.6</v>
      </c>
      <c r="G345" s="415">
        <v>29.7</v>
      </c>
      <c r="H345" s="415">
        <v>28.8</v>
      </c>
      <c r="I345" s="415">
        <v>27.9</v>
      </c>
      <c r="J345" s="415">
        <v>27</v>
      </c>
      <c r="K345" s="415">
        <v>26.1</v>
      </c>
    </row>
    <row r="346" ht="12.75" customHeight="1" spans="1:11" x14ac:dyDescent="0.25">
      <c r="A346" s="220">
        <v>101</v>
      </c>
      <c r="B346" s="415">
        <v>34.2</v>
      </c>
      <c r="C346" s="415">
        <v>33.3</v>
      </c>
      <c r="D346" s="415">
        <v>32.4</v>
      </c>
      <c r="E346" s="415">
        <v>31.5</v>
      </c>
      <c r="F346" s="415">
        <v>30.6</v>
      </c>
      <c r="G346" s="415">
        <v>29.7</v>
      </c>
      <c r="H346" s="415">
        <v>28.8</v>
      </c>
      <c r="I346" s="415">
        <v>27.9</v>
      </c>
      <c r="J346" s="415">
        <v>27</v>
      </c>
      <c r="K346" s="415">
        <v>26.1</v>
      </c>
    </row>
    <row r="347" ht="12.75" customHeight="1" spans="1:11" x14ac:dyDescent="0.25">
      <c r="A347" s="220">
        <v>102</v>
      </c>
      <c r="B347" s="415">
        <v>34.2</v>
      </c>
      <c r="C347" s="415">
        <v>33.3</v>
      </c>
      <c r="D347" s="415">
        <v>32.4</v>
      </c>
      <c r="E347" s="415">
        <v>31.4</v>
      </c>
      <c r="F347" s="415">
        <v>30.5</v>
      </c>
      <c r="G347" s="415">
        <v>29.7</v>
      </c>
      <c r="H347" s="415">
        <v>28.8</v>
      </c>
      <c r="I347" s="415">
        <v>27.9</v>
      </c>
      <c r="J347" s="415">
        <v>27</v>
      </c>
      <c r="K347" s="415">
        <v>26.1</v>
      </c>
    </row>
    <row r="348" ht="12.75" customHeight="1" spans="1:11" x14ac:dyDescent="0.25">
      <c r="A348" s="220">
        <v>103</v>
      </c>
      <c r="B348" s="415">
        <v>34.2</v>
      </c>
      <c r="C348" s="415">
        <v>33.3</v>
      </c>
      <c r="D348" s="415">
        <v>32.4</v>
      </c>
      <c r="E348" s="415">
        <v>31.4</v>
      </c>
      <c r="F348" s="415">
        <v>30.5</v>
      </c>
      <c r="G348" s="415">
        <v>29.7</v>
      </c>
      <c r="H348" s="415">
        <v>28.8</v>
      </c>
      <c r="I348" s="415">
        <v>27.9</v>
      </c>
      <c r="J348" s="415">
        <v>27</v>
      </c>
      <c r="K348" s="415">
        <v>26.1</v>
      </c>
    </row>
    <row r="349" ht="12.75" customHeight="1" spans="1:11" x14ac:dyDescent="0.25">
      <c r="A349" s="220">
        <v>104</v>
      </c>
      <c r="B349" s="415">
        <v>34.2</v>
      </c>
      <c r="C349" s="415">
        <v>33.3</v>
      </c>
      <c r="D349" s="415">
        <v>32.4</v>
      </c>
      <c r="E349" s="415">
        <v>31.4</v>
      </c>
      <c r="F349" s="415">
        <v>30.5</v>
      </c>
      <c r="G349" s="415">
        <v>29.6</v>
      </c>
      <c r="H349" s="415">
        <v>28.8</v>
      </c>
      <c r="I349" s="415">
        <v>27.9</v>
      </c>
      <c r="J349" s="415">
        <v>27</v>
      </c>
      <c r="K349" s="415">
        <v>26.1</v>
      </c>
    </row>
    <row r="350" ht="12.75" customHeight="1" spans="1:11" x14ac:dyDescent="0.25">
      <c r="A350" s="220">
        <v>105</v>
      </c>
      <c r="B350" s="415">
        <v>34.2</v>
      </c>
      <c r="C350" s="415">
        <v>33.3</v>
      </c>
      <c r="D350" s="415">
        <v>32.3</v>
      </c>
      <c r="E350" s="415">
        <v>31.4</v>
      </c>
      <c r="F350" s="415">
        <v>30.5</v>
      </c>
      <c r="G350" s="415">
        <v>29.6</v>
      </c>
      <c r="H350" s="415">
        <v>28.8</v>
      </c>
      <c r="I350" s="415">
        <v>27.9</v>
      </c>
      <c r="J350" s="415">
        <v>27</v>
      </c>
      <c r="K350" s="415">
        <v>26.1</v>
      </c>
    </row>
    <row r="351" ht="12.75" customHeight="1" spans="1:11" x14ac:dyDescent="0.25">
      <c r="A351" s="220">
        <v>106</v>
      </c>
      <c r="B351" s="415">
        <v>34.2</v>
      </c>
      <c r="C351" s="415">
        <v>33.3</v>
      </c>
      <c r="D351" s="415">
        <v>32.3</v>
      </c>
      <c r="E351" s="415">
        <v>31.4</v>
      </c>
      <c r="F351" s="415">
        <v>30.5</v>
      </c>
      <c r="G351" s="415">
        <v>29.6</v>
      </c>
      <c r="H351" s="415">
        <v>28.8</v>
      </c>
      <c r="I351" s="415">
        <v>27.9</v>
      </c>
      <c r="J351" s="415">
        <v>27</v>
      </c>
      <c r="K351" s="415">
        <v>26.1</v>
      </c>
    </row>
    <row r="352" ht="12.75" customHeight="1" spans="1:11" x14ac:dyDescent="0.25">
      <c r="A352" s="220">
        <v>107</v>
      </c>
      <c r="B352" s="415">
        <v>34.2</v>
      </c>
      <c r="C352" s="415">
        <v>33.3</v>
      </c>
      <c r="D352" s="415">
        <v>32.3</v>
      </c>
      <c r="E352" s="415">
        <v>31.4</v>
      </c>
      <c r="F352" s="415">
        <v>30.5</v>
      </c>
      <c r="G352" s="415">
        <v>29.6</v>
      </c>
      <c r="H352" s="415">
        <v>28.8</v>
      </c>
      <c r="I352" s="415">
        <v>27.9</v>
      </c>
      <c r="J352" s="415">
        <v>27</v>
      </c>
      <c r="K352" s="415">
        <v>26.1</v>
      </c>
    </row>
    <row r="353" ht="12.75" customHeight="1" spans="1:11" x14ac:dyDescent="0.25">
      <c r="A353" s="220">
        <v>108</v>
      </c>
      <c r="B353" s="415">
        <v>34.2</v>
      </c>
      <c r="C353" s="415">
        <v>33.3</v>
      </c>
      <c r="D353" s="415">
        <v>32.3</v>
      </c>
      <c r="E353" s="415">
        <v>31.4</v>
      </c>
      <c r="F353" s="415">
        <v>30.5</v>
      </c>
      <c r="G353" s="415">
        <v>29.6</v>
      </c>
      <c r="H353" s="415">
        <v>28.8</v>
      </c>
      <c r="I353" s="415">
        <v>27.9</v>
      </c>
      <c r="J353" s="415">
        <v>27</v>
      </c>
      <c r="K353" s="415">
        <v>26.1</v>
      </c>
    </row>
    <row r="354" ht="12.75" customHeight="1" spans="1:11" x14ac:dyDescent="0.25">
      <c r="A354" s="220">
        <v>109</v>
      </c>
      <c r="B354" s="415">
        <v>34.2</v>
      </c>
      <c r="C354" s="415">
        <v>33.3</v>
      </c>
      <c r="D354" s="415">
        <v>32.3</v>
      </c>
      <c r="E354" s="415">
        <v>31.4</v>
      </c>
      <c r="F354" s="415">
        <v>30.5</v>
      </c>
      <c r="G354" s="415">
        <v>29.6</v>
      </c>
      <c r="H354" s="415">
        <v>28.7</v>
      </c>
      <c r="I354" s="415">
        <v>27.9</v>
      </c>
      <c r="J354" s="415">
        <v>27</v>
      </c>
      <c r="K354" s="415">
        <v>26.1</v>
      </c>
    </row>
    <row r="355" ht="12.75" customHeight="1" spans="1:11" x14ac:dyDescent="0.25">
      <c r="A355" s="220">
        <v>110</v>
      </c>
      <c r="B355" s="415">
        <v>34.2</v>
      </c>
      <c r="C355" s="415">
        <v>33.3</v>
      </c>
      <c r="D355" s="415">
        <v>32.3</v>
      </c>
      <c r="E355" s="415">
        <v>31.4</v>
      </c>
      <c r="F355" s="415">
        <v>30.5</v>
      </c>
      <c r="G355" s="415">
        <v>29.6</v>
      </c>
      <c r="H355" s="415">
        <v>28.7</v>
      </c>
      <c r="I355" s="415">
        <v>27.9</v>
      </c>
      <c r="J355" s="415">
        <v>27</v>
      </c>
      <c r="K355" s="415">
        <v>26.1</v>
      </c>
    </row>
    <row r="356" ht="12.75" customHeight="1" spans="1:11" x14ac:dyDescent="0.25">
      <c r="A356" s="220">
        <v>111</v>
      </c>
      <c r="B356" s="415">
        <v>34.2</v>
      </c>
      <c r="C356" s="415">
        <v>33.3</v>
      </c>
      <c r="D356" s="415">
        <v>32.3</v>
      </c>
      <c r="E356" s="415">
        <v>31.4</v>
      </c>
      <c r="F356" s="415">
        <v>30.5</v>
      </c>
      <c r="G356" s="415">
        <v>29.6</v>
      </c>
      <c r="H356" s="415">
        <v>28.7</v>
      </c>
      <c r="I356" s="415">
        <v>27.9</v>
      </c>
      <c r="J356" s="415">
        <v>27</v>
      </c>
      <c r="K356" s="415">
        <v>26.1</v>
      </c>
    </row>
    <row r="357" ht="12.75" customHeight="1" spans="1:11" x14ac:dyDescent="0.25">
      <c r="A357" s="220">
        <v>112</v>
      </c>
      <c r="B357" s="415">
        <v>34.2</v>
      </c>
      <c r="C357" s="415">
        <v>33.3</v>
      </c>
      <c r="D357" s="415">
        <v>32.3</v>
      </c>
      <c r="E357" s="415">
        <v>31.4</v>
      </c>
      <c r="F357" s="415">
        <v>30.5</v>
      </c>
      <c r="G357" s="415">
        <v>29.6</v>
      </c>
      <c r="H357" s="415">
        <v>28.7</v>
      </c>
      <c r="I357" s="415">
        <v>27.9</v>
      </c>
      <c r="J357" s="415">
        <v>27</v>
      </c>
      <c r="K357" s="415">
        <v>26.1</v>
      </c>
    </row>
    <row r="358" ht="12.75" customHeight="1" spans="1:11" x14ac:dyDescent="0.25">
      <c r="A358" s="220">
        <v>113</v>
      </c>
      <c r="B358" s="415">
        <v>34.2</v>
      </c>
      <c r="C358" s="415">
        <v>33.3</v>
      </c>
      <c r="D358" s="415">
        <v>32.3</v>
      </c>
      <c r="E358" s="415">
        <v>31.4</v>
      </c>
      <c r="F358" s="415">
        <v>30.5</v>
      </c>
      <c r="G358" s="415">
        <v>29.6</v>
      </c>
      <c r="H358" s="415">
        <v>28.7</v>
      </c>
      <c r="I358" s="415">
        <v>27.9</v>
      </c>
      <c r="J358" s="415">
        <v>27</v>
      </c>
      <c r="K358" s="415">
        <v>26.1</v>
      </c>
    </row>
    <row r="359" ht="12.75" customHeight="1" spans="1:11" x14ac:dyDescent="0.25">
      <c r="A359" s="220">
        <v>114</v>
      </c>
      <c r="B359" s="415">
        <v>34.2</v>
      </c>
      <c r="C359" s="415">
        <v>33.3</v>
      </c>
      <c r="D359" s="415">
        <v>32.3</v>
      </c>
      <c r="E359" s="415">
        <v>31.4</v>
      </c>
      <c r="F359" s="415">
        <v>30.5</v>
      </c>
      <c r="G359" s="415">
        <v>29.6</v>
      </c>
      <c r="H359" s="415">
        <v>28.7</v>
      </c>
      <c r="I359" s="415">
        <v>27.9</v>
      </c>
      <c r="J359" s="415">
        <v>27</v>
      </c>
      <c r="K359" s="415">
        <v>26.1</v>
      </c>
    </row>
    <row r="360" ht="13.5" customHeight="1" spans="1:11" x14ac:dyDescent="0.25">
      <c r="A360" s="220" t="s">
        <v>698</v>
      </c>
      <c r="B360" s="415">
        <v>34.2</v>
      </c>
      <c r="C360" s="415">
        <v>33.3</v>
      </c>
      <c r="D360" s="415">
        <v>32.3</v>
      </c>
      <c r="E360" s="415">
        <v>31.4</v>
      </c>
      <c r="F360" s="415">
        <v>30.5</v>
      </c>
      <c r="G360" s="415">
        <v>29.6</v>
      </c>
      <c r="H360" s="415">
        <v>28.7</v>
      </c>
      <c r="I360" s="415">
        <v>27.9</v>
      </c>
      <c r="J360" s="415">
        <v>27</v>
      </c>
      <c r="K360" s="415">
        <v>26.1</v>
      </c>
    </row>
    <row r="361" ht="12.75" customHeight="1" spans="1:1" x14ac:dyDescent="0.25">
      <c r="A361" s="20"/>
    </row>
    <row r="362" ht="13.5" customHeight="1" spans="1:11" x14ac:dyDescent="0.25">
      <c r="A362" s="220" t="s">
        <v>697</v>
      </c>
      <c r="B362" s="220">
        <v>60</v>
      </c>
      <c r="C362" s="220">
        <v>61</v>
      </c>
      <c r="D362" s="220">
        <v>62</v>
      </c>
      <c r="E362" s="220">
        <v>63</v>
      </c>
      <c r="F362" s="220">
        <v>64</v>
      </c>
      <c r="G362" s="220">
        <v>65</v>
      </c>
      <c r="H362" s="220">
        <v>66</v>
      </c>
      <c r="I362" s="220">
        <v>67</v>
      </c>
      <c r="J362" s="220">
        <v>68</v>
      </c>
      <c r="K362" s="220">
        <v>69</v>
      </c>
    </row>
    <row r="363" ht="12.75" customHeight="1" spans="1:11" x14ac:dyDescent="0.25">
      <c r="A363" s="220">
        <v>60</v>
      </c>
      <c r="B363" s="415">
        <v>30.9</v>
      </c>
      <c r="C363" s="415">
        <v>30.4</v>
      </c>
      <c r="D363" s="415">
        <v>30</v>
      </c>
      <c r="E363" s="415">
        <v>29.6</v>
      </c>
      <c r="F363" s="415">
        <v>29.2</v>
      </c>
      <c r="G363" s="415">
        <v>28.8</v>
      </c>
      <c r="H363" s="415">
        <v>28.5</v>
      </c>
      <c r="I363" s="415">
        <v>28.2</v>
      </c>
      <c r="J363" s="415">
        <v>27.9</v>
      </c>
      <c r="K363" s="415">
        <v>27.6</v>
      </c>
    </row>
    <row r="364" ht="12.75" customHeight="1" spans="1:11" x14ac:dyDescent="0.25">
      <c r="A364" s="220">
        <v>61</v>
      </c>
      <c r="B364" s="415">
        <v>30.4</v>
      </c>
      <c r="C364" s="415">
        <v>29.9</v>
      </c>
      <c r="D364" s="415">
        <v>29.5</v>
      </c>
      <c r="E364" s="415">
        <v>29</v>
      </c>
      <c r="F364" s="415">
        <v>28.6</v>
      </c>
      <c r="G364" s="415">
        <v>28.3</v>
      </c>
      <c r="H364" s="415">
        <v>27.9</v>
      </c>
      <c r="I364" s="415">
        <v>27.6</v>
      </c>
      <c r="J364" s="415">
        <v>27.3</v>
      </c>
      <c r="K364" s="415">
        <v>27</v>
      </c>
    </row>
    <row r="365" ht="12.75" customHeight="1" spans="1:11" x14ac:dyDescent="0.25">
      <c r="A365" s="220">
        <v>62</v>
      </c>
      <c r="B365" s="415">
        <v>30</v>
      </c>
      <c r="C365" s="415">
        <v>29.5</v>
      </c>
      <c r="D365" s="415">
        <v>29</v>
      </c>
      <c r="E365" s="415">
        <v>28.5</v>
      </c>
      <c r="F365" s="415">
        <v>28.1</v>
      </c>
      <c r="G365" s="415">
        <v>27.7</v>
      </c>
      <c r="H365" s="415">
        <v>27.3</v>
      </c>
      <c r="I365" s="415">
        <v>27</v>
      </c>
      <c r="J365" s="415">
        <v>26.7</v>
      </c>
      <c r="K365" s="415">
        <v>26.4</v>
      </c>
    </row>
    <row r="366" ht="12.75" customHeight="1" spans="1:11" x14ac:dyDescent="0.25">
      <c r="A366" s="220">
        <v>63</v>
      </c>
      <c r="B366" s="415">
        <v>29.6</v>
      </c>
      <c r="C366" s="415">
        <v>29</v>
      </c>
      <c r="D366" s="415">
        <v>28.5</v>
      </c>
      <c r="E366" s="415">
        <v>28.1</v>
      </c>
      <c r="F366" s="415">
        <v>27.6</v>
      </c>
      <c r="G366" s="415">
        <v>27.2</v>
      </c>
      <c r="H366" s="415">
        <v>26.8</v>
      </c>
      <c r="I366" s="415">
        <v>26.4</v>
      </c>
      <c r="J366" s="415">
        <v>26.1</v>
      </c>
      <c r="K366" s="415">
        <v>25.7</v>
      </c>
    </row>
    <row r="367" ht="12.75" customHeight="1" spans="1:11" x14ac:dyDescent="0.25">
      <c r="A367" s="220">
        <v>64</v>
      </c>
      <c r="B367" s="415">
        <v>29.2</v>
      </c>
      <c r="C367" s="415">
        <v>28.6</v>
      </c>
      <c r="D367" s="415">
        <v>28.1</v>
      </c>
      <c r="E367" s="415">
        <v>27.6</v>
      </c>
      <c r="F367" s="415">
        <v>27.1</v>
      </c>
      <c r="G367" s="415">
        <v>26.7</v>
      </c>
      <c r="H367" s="415">
        <v>26.3</v>
      </c>
      <c r="I367" s="415">
        <v>25.9</v>
      </c>
      <c r="J367" s="415">
        <v>25.5</v>
      </c>
      <c r="K367" s="415">
        <v>25.2</v>
      </c>
    </row>
    <row r="368" ht="12.75" customHeight="1" spans="1:11" x14ac:dyDescent="0.25">
      <c r="A368" s="220">
        <v>65</v>
      </c>
      <c r="B368" s="415">
        <v>28.8</v>
      </c>
      <c r="C368" s="415">
        <v>28.3</v>
      </c>
      <c r="D368" s="415">
        <v>27.7</v>
      </c>
      <c r="E368" s="415">
        <v>27.2</v>
      </c>
      <c r="F368" s="415">
        <v>26.7</v>
      </c>
      <c r="G368" s="415">
        <v>26.2</v>
      </c>
      <c r="H368" s="415">
        <v>25.8</v>
      </c>
      <c r="I368" s="415">
        <v>25.4</v>
      </c>
      <c r="J368" s="415">
        <v>25</v>
      </c>
      <c r="K368" s="415">
        <v>24.6</v>
      </c>
    </row>
    <row r="369" ht="12.75" customHeight="1" spans="1:11" x14ac:dyDescent="0.25">
      <c r="A369" s="220">
        <v>66</v>
      </c>
      <c r="B369" s="415">
        <v>28.5</v>
      </c>
      <c r="C369" s="415">
        <v>27.9</v>
      </c>
      <c r="D369" s="415">
        <v>27.3</v>
      </c>
      <c r="E369" s="415">
        <v>26.8</v>
      </c>
      <c r="F369" s="415">
        <v>26.3</v>
      </c>
      <c r="G369" s="415">
        <v>25.8</v>
      </c>
      <c r="H369" s="415">
        <v>25.3</v>
      </c>
      <c r="I369" s="415">
        <v>24.9</v>
      </c>
      <c r="J369" s="415">
        <v>24.5</v>
      </c>
      <c r="K369" s="415">
        <v>24.1</v>
      </c>
    </row>
    <row r="370" ht="12.75" customHeight="1" spans="1:11" x14ac:dyDescent="0.25">
      <c r="A370" s="220">
        <v>67</v>
      </c>
      <c r="B370" s="415">
        <v>28.2</v>
      </c>
      <c r="C370" s="415">
        <v>27.6</v>
      </c>
      <c r="D370" s="415">
        <v>27</v>
      </c>
      <c r="E370" s="415">
        <v>26.4</v>
      </c>
      <c r="F370" s="415">
        <v>25.9</v>
      </c>
      <c r="G370" s="415">
        <v>25.4</v>
      </c>
      <c r="H370" s="415">
        <v>24.9</v>
      </c>
      <c r="I370" s="415">
        <v>24.4</v>
      </c>
      <c r="J370" s="415">
        <v>24</v>
      </c>
      <c r="K370" s="415">
        <v>23.6</v>
      </c>
    </row>
    <row r="371" ht="12.75" customHeight="1" spans="1:11" x14ac:dyDescent="0.25">
      <c r="A371" s="220">
        <v>68</v>
      </c>
      <c r="B371" s="415">
        <v>27.9</v>
      </c>
      <c r="C371" s="415">
        <v>27.3</v>
      </c>
      <c r="D371" s="415">
        <v>26.7</v>
      </c>
      <c r="E371" s="415">
        <v>26.1</v>
      </c>
      <c r="F371" s="415">
        <v>25.5</v>
      </c>
      <c r="G371" s="415">
        <v>25</v>
      </c>
      <c r="H371" s="415">
        <v>24.5</v>
      </c>
      <c r="I371" s="415">
        <v>24</v>
      </c>
      <c r="J371" s="415">
        <v>23.5</v>
      </c>
      <c r="K371" s="415">
        <v>23.1</v>
      </c>
    </row>
    <row r="372" ht="12.75" customHeight="1" spans="1:11" x14ac:dyDescent="0.25">
      <c r="A372" s="220">
        <v>69</v>
      </c>
      <c r="B372" s="415">
        <v>27.6</v>
      </c>
      <c r="C372" s="415">
        <v>27</v>
      </c>
      <c r="D372" s="415">
        <v>26.4</v>
      </c>
      <c r="E372" s="415">
        <v>25.7</v>
      </c>
      <c r="F372" s="415">
        <v>25.2</v>
      </c>
      <c r="G372" s="415">
        <v>24.6</v>
      </c>
      <c r="H372" s="415">
        <v>24.1</v>
      </c>
      <c r="I372" s="415">
        <v>23.6</v>
      </c>
      <c r="J372" s="415">
        <v>23.1</v>
      </c>
      <c r="K372" s="415">
        <v>22.6</v>
      </c>
    </row>
    <row r="373" ht="12.75" customHeight="1" spans="1:11" x14ac:dyDescent="0.25">
      <c r="A373" s="220">
        <v>70</v>
      </c>
      <c r="B373" s="415">
        <v>27.4</v>
      </c>
      <c r="C373" s="415">
        <v>26.7</v>
      </c>
      <c r="D373" s="415">
        <v>26.1</v>
      </c>
      <c r="E373" s="415">
        <v>25.4</v>
      </c>
      <c r="F373" s="415">
        <v>24.8</v>
      </c>
      <c r="G373" s="415">
        <v>24.3</v>
      </c>
      <c r="H373" s="415">
        <v>23.7</v>
      </c>
      <c r="I373" s="415">
        <v>23.2</v>
      </c>
      <c r="J373" s="415">
        <v>22.7</v>
      </c>
      <c r="K373" s="415">
        <v>22.2</v>
      </c>
    </row>
    <row r="374" ht="12.75" customHeight="1" spans="1:11" x14ac:dyDescent="0.25">
      <c r="A374" s="220">
        <v>71</v>
      </c>
      <c r="B374" s="415">
        <v>27.2</v>
      </c>
      <c r="C374" s="415">
        <v>26.5</v>
      </c>
      <c r="D374" s="415">
        <v>25.8</v>
      </c>
      <c r="E374" s="415">
        <v>25.2</v>
      </c>
      <c r="F374" s="415">
        <v>24.5</v>
      </c>
      <c r="G374" s="415">
        <v>23.9</v>
      </c>
      <c r="H374" s="415">
        <v>23.4</v>
      </c>
      <c r="I374" s="415">
        <v>22.8</v>
      </c>
      <c r="J374" s="415">
        <v>22.3</v>
      </c>
      <c r="K374" s="415">
        <v>21.8</v>
      </c>
    </row>
    <row r="375" ht="12.75" customHeight="1" spans="1:11" x14ac:dyDescent="0.25">
      <c r="A375" s="220">
        <v>72</v>
      </c>
      <c r="B375" s="415">
        <v>27</v>
      </c>
      <c r="C375" s="415">
        <v>26.3</v>
      </c>
      <c r="D375" s="415">
        <v>25.6</v>
      </c>
      <c r="E375" s="415">
        <v>24.9</v>
      </c>
      <c r="F375" s="415">
        <v>24.3</v>
      </c>
      <c r="G375" s="415">
        <v>23.7</v>
      </c>
      <c r="H375" s="415">
        <v>23.1</v>
      </c>
      <c r="I375" s="415">
        <v>22.5</v>
      </c>
      <c r="J375" s="415">
        <v>22</v>
      </c>
      <c r="K375" s="415">
        <v>21.4</v>
      </c>
    </row>
    <row r="376" ht="12.75" customHeight="1" spans="1:11" x14ac:dyDescent="0.25">
      <c r="A376" s="220">
        <v>73</v>
      </c>
      <c r="B376" s="415">
        <v>26.8</v>
      </c>
      <c r="C376" s="415">
        <v>26.1</v>
      </c>
      <c r="D376" s="415">
        <v>25.4</v>
      </c>
      <c r="E376" s="415">
        <v>24.7</v>
      </c>
      <c r="F376" s="415">
        <v>24</v>
      </c>
      <c r="G376" s="415">
        <v>23.4</v>
      </c>
      <c r="H376" s="415">
        <v>22.8</v>
      </c>
      <c r="I376" s="415">
        <v>22.2</v>
      </c>
      <c r="J376" s="415">
        <v>21.6</v>
      </c>
      <c r="K376" s="415">
        <v>21.1</v>
      </c>
    </row>
    <row r="377" ht="12.75" customHeight="1" spans="1:11" x14ac:dyDescent="0.25">
      <c r="A377" s="220">
        <v>74</v>
      </c>
      <c r="B377" s="415">
        <v>26.6</v>
      </c>
      <c r="C377" s="415">
        <v>25.9</v>
      </c>
      <c r="D377" s="415">
        <v>25.2</v>
      </c>
      <c r="E377" s="415">
        <v>24.5</v>
      </c>
      <c r="F377" s="415">
        <v>23.8</v>
      </c>
      <c r="G377" s="415">
        <v>23.1</v>
      </c>
      <c r="H377" s="415">
        <v>22.5</v>
      </c>
      <c r="I377" s="415">
        <v>21.9</v>
      </c>
      <c r="J377" s="415">
        <v>21.3</v>
      </c>
      <c r="K377" s="415">
        <v>20.8</v>
      </c>
    </row>
    <row r="378" ht="12.75" customHeight="1" spans="1:11" x14ac:dyDescent="0.25">
      <c r="A378" s="220">
        <v>75</v>
      </c>
      <c r="B378" s="415">
        <v>26.5</v>
      </c>
      <c r="C378" s="415">
        <v>25.7</v>
      </c>
      <c r="D378" s="415">
        <v>25</v>
      </c>
      <c r="E378" s="415">
        <v>24.3</v>
      </c>
      <c r="F378" s="415">
        <v>23.6</v>
      </c>
      <c r="G378" s="415">
        <v>22.9</v>
      </c>
      <c r="H378" s="415">
        <v>22.3</v>
      </c>
      <c r="I378" s="415">
        <v>21.6</v>
      </c>
      <c r="J378" s="415">
        <v>21</v>
      </c>
      <c r="K378" s="415">
        <v>20.5</v>
      </c>
    </row>
    <row r="379" ht="12.75" customHeight="1" spans="1:11" x14ac:dyDescent="0.25">
      <c r="A379" s="220">
        <v>76</v>
      </c>
      <c r="B379" s="415">
        <v>26.3</v>
      </c>
      <c r="C379" s="415">
        <v>25.6</v>
      </c>
      <c r="D379" s="415">
        <v>24.8</v>
      </c>
      <c r="E379" s="415">
        <v>24.1</v>
      </c>
      <c r="F379" s="415">
        <v>23.4</v>
      </c>
      <c r="G379" s="415">
        <v>22.7</v>
      </c>
      <c r="H379" s="415">
        <v>22</v>
      </c>
      <c r="I379" s="415">
        <v>21.4</v>
      </c>
      <c r="J379" s="415">
        <v>20.8</v>
      </c>
      <c r="K379" s="415">
        <v>20.2</v>
      </c>
    </row>
    <row r="380" ht="12.75" customHeight="1" spans="1:11" x14ac:dyDescent="0.25">
      <c r="A380" s="220">
        <v>77</v>
      </c>
      <c r="B380" s="415">
        <v>26.2</v>
      </c>
      <c r="C380" s="415">
        <v>25.4</v>
      </c>
      <c r="D380" s="415">
        <v>24.7</v>
      </c>
      <c r="E380" s="415">
        <v>23.9</v>
      </c>
      <c r="F380" s="415">
        <v>23.2</v>
      </c>
      <c r="G380" s="415">
        <v>22.5</v>
      </c>
      <c r="H380" s="415">
        <v>21.8</v>
      </c>
      <c r="I380" s="415">
        <v>21.2</v>
      </c>
      <c r="J380" s="415">
        <v>20.6</v>
      </c>
      <c r="K380" s="415">
        <v>19.9</v>
      </c>
    </row>
    <row r="381" ht="12.75" customHeight="1" spans="1:11" x14ac:dyDescent="0.25">
      <c r="A381" s="220">
        <v>78</v>
      </c>
      <c r="B381" s="415">
        <v>26.1</v>
      </c>
      <c r="C381" s="415">
        <v>25.3</v>
      </c>
      <c r="D381" s="415">
        <v>24.6</v>
      </c>
      <c r="E381" s="415">
        <v>23.8</v>
      </c>
      <c r="F381" s="415">
        <v>23.1</v>
      </c>
      <c r="G381" s="415">
        <v>22.4</v>
      </c>
      <c r="H381" s="415">
        <v>21.7</v>
      </c>
      <c r="I381" s="415">
        <v>21</v>
      </c>
      <c r="J381" s="415">
        <v>20.3</v>
      </c>
      <c r="K381" s="415">
        <v>19.7</v>
      </c>
    </row>
    <row r="382" ht="12.75" customHeight="1" spans="1:11" x14ac:dyDescent="0.25">
      <c r="A382" s="220">
        <v>79</v>
      </c>
      <c r="B382" s="415">
        <v>26</v>
      </c>
      <c r="C382" s="415">
        <v>25.2</v>
      </c>
      <c r="D382" s="415">
        <v>24.4</v>
      </c>
      <c r="E382" s="415">
        <v>23.7</v>
      </c>
      <c r="F382" s="415">
        <v>22.9</v>
      </c>
      <c r="G382" s="415">
        <v>22.2</v>
      </c>
      <c r="H382" s="415">
        <v>21.5</v>
      </c>
      <c r="I382" s="415">
        <v>20.8</v>
      </c>
      <c r="J382" s="415">
        <v>20.1</v>
      </c>
      <c r="K382" s="415">
        <v>19.5</v>
      </c>
    </row>
    <row r="383" ht="12.75" customHeight="1" spans="1:11" x14ac:dyDescent="0.25">
      <c r="A383" s="220">
        <v>80</v>
      </c>
      <c r="B383" s="415">
        <v>25.9</v>
      </c>
      <c r="C383" s="415">
        <v>25.1</v>
      </c>
      <c r="D383" s="415">
        <v>24.3</v>
      </c>
      <c r="E383" s="415">
        <v>23.6</v>
      </c>
      <c r="F383" s="415">
        <v>22.8</v>
      </c>
      <c r="G383" s="415">
        <v>22.1</v>
      </c>
      <c r="H383" s="415">
        <v>21.3</v>
      </c>
      <c r="I383" s="415">
        <v>20.6</v>
      </c>
      <c r="J383" s="415">
        <v>20</v>
      </c>
      <c r="K383" s="415">
        <v>19.3</v>
      </c>
    </row>
    <row r="384" ht="12.75" customHeight="1" spans="1:11" x14ac:dyDescent="0.25">
      <c r="A384" s="220">
        <v>81</v>
      </c>
      <c r="B384" s="415">
        <v>25.8</v>
      </c>
      <c r="C384" s="415">
        <v>25</v>
      </c>
      <c r="D384" s="415">
        <v>24.2</v>
      </c>
      <c r="E384" s="415">
        <v>23.4</v>
      </c>
      <c r="F384" s="415">
        <v>22.7</v>
      </c>
      <c r="G384" s="415">
        <v>21.9</v>
      </c>
      <c r="H384" s="415">
        <v>21.2</v>
      </c>
      <c r="I384" s="415">
        <v>20.5</v>
      </c>
      <c r="J384" s="415">
        <v>19.8</v>
      </c>
      <c r="K384" s="415">
        <v>19.1</v>
      </c>
    </row>
    <row r="385" ht="12.75" customHeight="1" spans="1:11" x14ac:dyDescent="0.25">
      <c r="A385" s="220">
        <v>82</v>
      </c>
      <c r="B385" s="415">
        <v>25.8</v>
      </c>
      <c r="C385" s="415">
        <v>24.9</v>
      </c>
      <c r="D385" s="415">
        <v>24.1</v>
      </c>
      <c r="E385" s="415">
        <v>23.4</v>
      </c>
      <c r="F385" s="415">
        <v>22.6</v>
      </c>
      <c r="G385" s="415">
        <v>21.8</v>
      </c>
      <c r="H385" s="415">
        <v>21.1</v>
      </c>
      <c r="I385" s="415">
        <v>20.4</v>
      </c>
      <c r="J385" s="415">
        <v>19.7</v>
      </c>
      <c r="K385" s="415">
        <v>19</v>
      </c>
    </row>
    <row r="386" ht="12.75" customHeight="1" spans="1:11" x14ac:dyDescent="0.25">
      <c r="A386" s="220">
        <v>83</v>
      </c>
      <c r="B386" s="415">
        <v>25.7</v>
      </c>
      <c r="C386" s="415">
        <v>24.9</v>
      </c>
      <c r="D386" s="415">
        <v>24.1</v>
      </c>
      <c r="E386" s="415">
        <v>23.3</v>
      </c>
      <c r="F386" s="415">
        <v>22.5</v>
      </c>
      <c r="G386" s="415">
        <v>21.7</v>
      </c>
      <c r="H386" s="415">
        <v>21</v>
      </c>
      <c r="I386" s="415">
        <v>20.2</v>
      </c>
      <c r="J386" s="415">
        <v>19.5</v>
      </c>
      <c r="K386" s="415">
        <v>18.8</v>
      </c>
    </row>
    <row r="387" ht="12.75" customHeight="1" spans="1:11" x14ac:dyDescent="0.25">
      <c r="A387" s="220">
        <v>84</v>
      </c>
      <c r="B387" s="415">
        <v>25.6</v>
      </c>
      <c r="C387" s="415">
        <v>24.8</v>
      </c>
      <c r="D387" s="415">
        <v>24</v>
      </c>
      <c r="E387" s="415">
        <v>23.2</v>
      </c>
      <c r="F387" s="415">
        <v>22.4</v>
      </c>
      <c r="G387" s="415">
        <v>21.6</v>
      </c>
      <c r="H387" s="415">
        <v>20.9</v>
      </c>
      <c r="I387" s="415">
        <v>20.1</v>
      </c>
      <c r="J387" s="415">
        <v>19.4</v>
      </c>
      <c r="K387" s="415">
        <v>18.7</v>
      </c>
    </row>
    <row r="388" ht="12.75" customHeight="1" spans="1:11" x14ac:dyDescent="0.25">
      <c r="A388" s="220">
        <v>85</v>
      </c>
      <c r="B388" s="415">
        <v>25.6</v>
      </c>
      <c r="C388" s="415">
        <v>24.8</v>
      </c>
      <c r="D388" s="415">
        <v>23.9</v>
      </c>
      <c r="E388" s="415">
        <v>23.1</v>
      </c>
      <c r="F388" s="415">
        <v>22.3</v>
      </c>
      <c r="G388" s="415">
        <v>21.6</v>
      </c>
      <c r="H388" s="415">
        <v>20.8</v>
      </c>
      <c r="I388" s="415">
        <v>20.1</v>
      </c>
      <c r="J388" s="415">
        <v>19.3</v>
      </c>
      <c r="K388" s="415">
        <v>18.6</v>
      </c>
    </row>
    <row r="389" ht="12.75" customHeight="1" spans="1:11" x14ac:dyDescent="0.25">
      <c r="A389" s="220">
        <v>86</v>
      </c>
      <c r="B389" s="415">
        <v>25.5</v>
      </c>
      <c r="C389" s="415">
        <v>24.7</v>
      </c>
      <c r="D389" s="415">
        <v>23.9</v>
      </c>
      <c r="E389" s="415">
        <v>23.1</v>
      </c>
      <c r="F389" s="415">
        <v>22.3</v>
      </c>
      <c r="G389" s="415">
        <v>21.5</v>
      </c>
      <c r="H389" s="415">
        <v>20.7</v>
      </c>
      <c r="I389" s="415">
        <v>20</v>
      </c>
      <c r="J389" s="415">
        <v>19.2</v>
      </c>
      <c r="K389" s="415">
        <v>18.5</v>
      </c>
    </row>
    <row r="390" ht="12.75" customHeight="1" spans="1:11" x14ac:dyDescent="0.25">
      <c r="A390" s="220">
        <v>87</v>
      </c>
      <c r="B390" s="415">
        <v>25.5</v>
      </c>
      <c r="C390" s="415">
        <v>24.7</v>
      </c>
      <c r="D390" s="415">
        <v>23.8</v>
      </c>
      <c r="E390" s="415">
        <v>23</v>
      </c>
      <c r="F390" s="415">
        <v>22.2</v>
      </c>
      <c r="G390" s="415">
        <v>21.4</v>
      </c>
      <c r="H390" s="415">
        <v>20.7</v>
      </c>
      <c r="I390" s="415">
        <v>19.9</v>
      </c>
      <c r="J390" s="415">
        <v>19.2</v>
      </c>
      <c r="K390" s="415">
        <v>18.4</v>
      </c>
    </row>
    <row r="391" ht="12.75" customHeight="1" spans="1:11" x14ac:dyDescent="0.25">
      <c r="A391" s="220">
        <v>88</v>
      </c>
      <c r="B391" s="415">
        <v>25.5</v>
      </c>
      <c r="C391" s="415">
        <v>24.6</v>
      </c>
      <c r="D391" s="415">
        <v>23.8</v>
      </c>
      <c r="E391" s="415">
        <v>23</v>
      </c>
      <c r="F391" s="415">
        <v>22.2</v>
      </c>
      <c r="G391" s="415">
        <v>21.4</v>
      </c>
      <c r="H391" s="415">
        <v>20.6</v>
      </c>
      <c r="I391" s="415">
        <v>19.8</v>
      </c>
      <c r="J391" s="415">
        <v>19.1</v>
      </c>
      <c r="K391" s="415">
        <v>18.3</v>
      </c>
    </row>
    <row r="392" ht="12.75" customHeight="1" spans="1:11" x14ac:dyDescent="0.25">
      <c r="A392" s="220">
        <v>89</v>
      </c>
      <c r="B392" s="415">
        <v>25.4</v>
      </c>
      <c r="C392" s="415">
        <v>24.6</v>
      </c>
      <c r="D392" s="415">
        <v>23.8</v>
      </c>
      <c r="E392" s="415">
        <v>22.9</v>
      </c>
      <c r="F392" s="415">
        <v>22.1</v>
      </c>
      <c r="G392" s="415">
        <v>21.3</v>
      </c>
      <c r="H392" s="415">
        <v>20.5</v>
      </c>
      <c r="I392" s="415">
        <v>19.8</v>
      </c>
      <c r="J392" s="415">
        <v>19</v>
      </c>
      <c r="K392" s="415">
        <v>18.3</v>
      </c>
    </row>
    <row r="393" ht="12.75" customHeight="1" spans="1:11" x14ac:dyDescent="0.25">
      <c r="A393" s="220">
        <v>90</v>
      </c>
      <c r="B393" s="415">
        <v>25.4</v>
      </c>
      <c r="C393" s="415">
        <v>24.6</v>
      </c>
      <c r="D393" s="415">
        <v>23.7</v>
      </c>
      <c r="E393" s="415">
        <v>22.9</v>
      </c>
      <c r="F393" s="415">
        <v>22.1</v>
      </c>
      <c r="G393" s="415">
        <v>21.3</v>
      </c>
      <c r="H393" s="415">
        <v>20.5</v>
      </c>
      <c r="I393" s="415">
        <v>19.7</v>
      </c>
      <c r="J393" s="415">
        <v>19</v>
      </c>
      <c r="K393" s="415">
        <v>18.2</v>
      </c>
    </row>
    <row r="394" ht="12.75" customHeight="1" spans="1:11" x14ac:dyDescent="0.25">
      <c r="A394" s="220">
        <v>91</v>
      </c>
      <c r="B394" s="415">
        <v>25.4</v>
      </c>
      <c r="C394" s="415">
        <v>24.5</v>
      </c>
      <c r="D394" s="415">
        <v>23.7</v>
      </c>
      <c r="E394" s="415">
        <v>22.9</v>
      </c>
      <c r="F394" s="415">
        <v>22.1</v>
      </c>
      <c r="G394" s="415">
        <v>21.3</v>
      </c>
      <c r="H394" s="415">
        <v>20.5</v>
      </c>
      <c r="I394" s="415">
        <v>19.7</v>
      </c>
      <c r="J394" s="415">
        <v>18.9</v>
      </c>
      <c r="K394" s="415">
        <v>18.2</v>
      </c>
    </row>
    <row r="395" ht="12.75" customHeight="1" spans="1:11" x14ac:dyDescent="0.25">
      <c r="A395" s="220">
        <v>92</v>
      </c>
      <c r="B395" s="415">
        <v>25.4</v>
      </c>
      <c r="C395" s="415">
        <v>24.5</v>
      </c>
      <c r="D395" s="415">
        <v>23.7</v>
      </c>
      <c r="E395" s="415">
        <v>22.9</v>
      </c>
      <c r="F395" s="415">
        <v>22</v>
      </c>
      <c r="G395" s="415">
        <v>21.2</v>
      </c>
      <c r="H395" s="415">
        <v>20.4</v>
      </c>
      <c r="I395" s="415">
        <v>19.6</v>
      </c>
      <c r="J395" s="415">
        <v>18.9</v>
      </c>
      <c r="K395" s="415">
        <v>18.1</v>
      </c>
    </row>
    <row r="396" ht="12.75" customHeight="1" spans="1:11" x14ac:dyDescent="0.25">
      <c r="A396" s="220">
        <v>93</v>
      </c>
      <c r="B396" s="415">
        <v>25.4</v>
      </c>
      <c r="C396" s="415">
        <v>24.5</v>
      </c>
      <c r="D396" s="415">
        <v>23.7</v>
      </c>
      <c r="E396" s="415">
        <v>22.8</v>
      </c>
      <c r="F396" s="415">
        <v>22</v>
      </c>
      <c r="G396" s="415">
        <v>21.2</v>
      </c>
      <c r="H396" s="415">
        <v>20.4</v>
      </c>
      <c r="I396" s="415">
        <v>19.6</v>
      </c>
      <c r="J396" s="415">
        <v>18.8</v>
      </c>
      <c r="K396" s="415">
        <v>18.1</v>
      </c>
    </row>
    <row r="397" ht="12.75" customHeight="1" spans="1:11" x14ac:dyDescent="0.25">
      <c r="A397" s="220">
        <v>94</v>
      </c>
      <c r="B397" s="415">
        <v>25.3</v>
      </c>
      <c r="C397" s="415">
        <v>24.5</v>
      </c>
      <c r="D397" s="415">
        <v>23.6</v>
      </c>
      <c r="E397" s="415">
        <v>22.8</v>
      </c>
      <c r="F397" s="415">
        <v>22</v>
      </c>
      <c r="G397" s="415">
        <v>21.2</v>
      </c>
      <c r="H397" s="415">
        <v>20.4</v>
      </c>
      <c r="I397" s="415">
        <v>19.6</v>
      </c>
      <c r="J397" s="415">
        <v>18.8</v>
      </c>
      <c r="K397" s="415">
        <v>18</v>
      </c>
    </row>
    <row r="398" ht="12.75" customHeight="1" spans="1:11" x14ac:dyDescent="0.25">
      <c r="A398" s="220">
        <v>95</v>
      </c>
      <c r="B398" s="415">
        <v>25.3</v>
      </c>
      <c r="C398" s="415">
        <v>24.5</v>
      </c>
      <c r="D398" s="415">
        <v>23.6</v>
      </c>
      <c r="E398" s="415">
        <v>22.8</v>
      </c>
      <c r="F398" s="415">
        <v>22</v>
      </c>
      <c r="G398" s="415">
        <v>21.1</v>
      </c>
      <c r="H398" s="415">
        <v>20.3</v>
      </c>
      <c r="I398" s="415">
        <v>19.6</v>
      </c>
      <c r="J398" s="415">
        <v>18.8</v>
      </c>
      <c r="K398" s="415">
        <v>18</v>
      </c>
    </row>
    <row r="399" ht="12.75" customHeight="1" spans="1:11" x14ac:dyDescent="0.25">
      <c r="A399" s="220">
        <v>96</v>
      </c>
      <c r="B399" s="415">
        <v>25.3</v>
      </c>
      <c r="C399" s="415">
        <v>24.5</v>
      </c>
      <c r="D399" s="415">
        <v>23.6</v>
      </c>
      <c r="E399" s="415">
        <v>22.8</v>
      </c>
      <c r="F399" s="415">
        <v>21.9</v>
      </c>
      <c r="G399" s="415">
        <v>21.1</v>
      </c>
      <c r="H399" s="415">
        <v>20.3</v>
      </c>
      <c r="I399" s="415">
        <v>19.5</v>
      </c>
      <c r="J399" s="415">
        <v>18.8</v>
      </c>
      <c r="K399" s="415">
        <v>18</v>
      </c>
    </row>
    <row r="400" ht="12.75" customHeight="1" spans="1:11" x14ac:dyDescent="0.25">
      <c r="A400" s="220">
        <v>97</v>
      </c>
      <c r="B400" s="415">
        <v>25.3</v>
      </c>
      <c r="C400" s="415">
        <v>24.5</v>
      </c>
      <c r="D400" s="415">
        <v>23.6</v>
      </c>
      <c r="E400" s="415">
        <v>22.8</v>
      </c>
      <c r="F400" s="415">
        <v>21.9</v>
      </c>
      <c r="G400" s="415">
        <v>21.1</v>
      </c>
      <c r="H400" s="415">
        <v>20.3</v>
      </c>
      <c r="I400" s="415">
        <v>19.5</v>
      </c>
      <c r="J400" s="415">
        <v>18.7</v>
      </c>
      <c r="K400" s="415">
        <v>18</v>
      </c>
    </row>
    <row r="401" ht="12.75" customHeight="1" spans="1:11" x14ac:dyDescent="0.25">
      <c r="A401" s="220">
        <v>98</v>
      </c>
      <c r="B401" s="415">
        <v>25.3</v>
      </c>
      <c r="C401" s="415">
        <v>24.4</v>
      </c>
      <c r="D401" s="415">
        <v>23.6</v>
      </c>
      <c r="E401" s="415">
        <v>22.8</v>
      </c>
      <c r="F401" s="415">
        <v>21.9</v>
      </c>
      <c r="G401" s="415">
        <v>21.1</v>
      </c>
      <c r="H401" s="415">
        <v>20.3</v>
      </c>
      <c r="I401" s="415">
        <v>19.5</v>
      </c>
      <c r="J401" s="415">
        <v>18.7</v>
      </c>
      <c r="K401" s="415">
        <v>17.9</v>
      </c>
    </row>
    <row r="402" ht="12.75" customHeight="1" spans="1:11" x14ac:dyDescent="0.25">
      <c r="A402" s="220">
        <v>99</v>
      </c>
      <c r="B402" s="415">
        <v>25.3</v>
      </c>
      <c r="C402" s="415">
        <v>24.4</v>
      </c>
      <c r="D402" s="415">
        <v>23.6</v>
      </c>
      <c r="E402" s="415">
        <v>22.7</v>
      </c>
      <c r="F402" s="415">
        <v>21.9</v>
      </c>
      <c r="G402" s="415">
        <v>21.1</v>
      </c>
      <c r="H402" s="415">
        <v>20.3</v>
      </c>
      <c r="I402" s="415">
        <v>19.5</v>
      </c>
      <c r="J402" s="415">
        <v>18.7</v>
      </c>
      <c r="K402" s="415">
        <v>17.9</v>
      </c>
    </row>
    <row r="403" ht="12.75" customHeight="1" spans="1:11" x14ac:dyDescent="0.25">
      <c r="A403" s="220">
        <v>100</v>
      </c>
      <c r="B403" s="415">
        <v>25.3</v>
      </c>
      <c r="C403" s="415">
        <v>24.4</v>
      </c>
      <c r="D403" s="415">
        <v>23.6</v>
      </c>
      <c r="E403" s="415">
        <v>22.7</v>
      </c>
      <c r="F403" s="415">
        <v>21.9</v>
      </c>
      <c r="G403" s="415">
        <v>21.1</v>
      </c>
      <c r="H403" s="415">
        <v>20.3</v>
      </c>
      <c r="I403" s="415">
        <v>19.5</v>
      </c>
      <c r="J403" s="415">
        <v>18.7</v>
      </c>
      <c r="K403" s="415">
        <v>17.9</v>
      </c>
    </row>
    <row r="404" ht="12.75" customHeight="1" spans="1:11" x14ac:dyDescent="0.25">
      <c r="A404" s="220">
        <v>101</v>
      </c>
      <c r="B404" s="415">
        <v>25.3</v>
      </c>
      <c r="C404" s="415">
        <v>24.4</v>
      </c>
      <c r="D404" s="415">
        <v>23.6</v>
      </c>
      <c r="E404" s="415">
        <v>22.7</v>
      </c>
      <c r="F404" s="415">
        <v>21.9</v>
      </c>
      <c r="G404" s="415">
        <v>21.1</v>
      </c>
      <c r="H404" s="415">
        <v>20.2</v>
      </c>
      <c r="I404" s="415">
        <v>19.4</v>
      </c>
      <c r="J404" s="415">
        <v>18.7</v>
      </c>
      <c r="K404" s="415">
        <v>17.9</v>
      </c>
    </row>
    <row r="405" ht="12.75" customHeight="1" spans="1:11" x14ac:dyDescent="0.25">
      <c r="A405" s="220">
        <v>102</v>
      </c>
      <c r="B405" s="415">
        <v>25.3</v>
      </c>
      <c r="C405" s="415">
        <v>24.4</v>
      </c>
      <c r="D405" s="415">
        <v>23.6</v>
      </c>
      <c r="E405" s="415">
        <v>22.7</v>
      </c>
      <c r="F405" s="415">
        <v>21.9</v>
      </c>
      <c r="G405" s="415">
        <v>21.1</v>
      </c>
      <c r="H405" s="415">
        <v>20.2</v>
      </c>
      <c r="I405" s="415">
        <v>19.4</v>
      </c>
      <c r="J405" s="415">
        <v>18.6</v>
      </c>
      <c r="K405" s="415">
        <v>17.9</v>
      </c>
    </row>
    <row r="406" ht="12.75" customHeight="1" spans="1:11" x14ac:dyDescent="0.25">
      <c r="A406" s="220">
        <v>103</v>
      </c>
      <c r="B406" s="415">
        <v>25.3</v>
      </c>
      <c r="C406" s="415">
        <v>24.4</v>
      </c>
      <c r="D406" s="415">
        <v>23.6</v>
      </c>
      <c r="E406" s="415">
        <v>22.7</v>
      </c>
      <c r="F406" s="415">
        <v>21.9</v>
      </c>
      <c r="G406" s="415">
        <v>21</v>
      </c>
      <c r="H406" s="415">
        <v>20.2</v>
      </c>
      <c r="I406" s="415">
        <v>19.4</v>
      </c>
      <c r="J406" s="415">
        <v>18.6</v>
      </c>
      <c r="K406" s="415">
        <v>17.9</v>
      </c>
    </row>
    <row r="407" ht="12.75" customHeight="1" spans="1:11" x14ac:dyDescent="0.25">
      <c r="A407" s="220">
        <v>104</v>
      </c>
      <c r="B407" s="415">
        <v>25.3</v>
      </c>
      <c r="C407" s="415">
        <v>24.4</v>
      </c>
      <c r="D407" s="415">
        <v>23.5</v>
      </c>
      <c r="E407" s="415">
        <v>22.7</v>
      </c>
      <c r="F407" s="415">
        <v>21.9</v>
      </c>
      <c r="G407" s="415">
        <v>21</v>
      </c>
      <c r="H407" s="415">
        <v>20.2</v>
      </c>
      <c r="I407" s="415">
        <v>19.4</v>
      </c>
      <c r="J407" s="415">
        <v>18.6</v>
      </c>
      <c r="K407" s="415">
        <v>17.8</v>
      </c>
    </row>
    <row r="408" ht="12.75" customHeight="1" spans="1:11" x14ac:dyDescent="0.25">
      <c r="A408" s="220">
        <v>105</v>
      </c>
      <c r="B408" s="415">
        <v>25.3</v>
      </c>
      <c r="C408" s="415">
        <v>24.4</v>
      </c>
      <c r="D408" s="415">
        <v>23.5</v>
      </c>
      <c r="E408" s="415">
        <v>22.7</v>
      </c>
      <c r="F408" s="415">
        <v>21.9</v>
      </c>
      <c r="G408" s="415">
        <v>21</v>
      </c>
      <c r="H408" s="415">
        <v>20.2</v>
      </c>
      <c r="I408" s="415">
        <v>19.4</v>
      </c>
      <c r="J408" s="415">
        <v>18.6</v>
      </c>
      <c r="K408" s="415">
        <v>17.8</v>
      </c>
    </row>
    <row r="409" ht="12.75" customHeight="1" spans="1:11" x14ac:dyDescent="0.25">
      <c r="A409" s="220">
        <v>106</v>
      </c>
      <c r="B409" s="415">
        <v>25.3</v>
      </c>
      <c r="C409" s="415">
        <v>24.4</v>
      </c>
      <c r="D409" s="415">
        <v>23.5</v>
      </c>
      <c r="E409" s="415">
        <v>22.7</v>
      </c>
      <c r="F409" s="415">
        <v>21.9</v>
      </c>
      <c r="G409" s="415">
        <v>21</v>
      </c>
      <c r="H409" s="415">
        <v>20.2</v>
      </c>
      <c r="I409" s="415">
        <v>19.4</v>
      </c>
      <c r="J409" s="415">
        <v>18.6</v>
      </c>
      <c r="K409" s="415">
        <v>17.8</v>
      </c>
    </row>
    <row r="410" ht="12.75" customHeight="1" spans="1:11" x14ac:dyDescent="0.25">
      <c r="A410" s="220">
        <v>107</v>
      </c>
      <c r="B410" s="415">
        <v>25.2</v>
      </c>
      <c r="C410" s="415">
        <v>24.4</v>
      </c>
      <c r="D410" s="415">
        <v>23.5</v>
      </c>
      <c r="E410" s="415">
        <v>22.7</v>
      </c>
      <c r="F410" s="415">
        <v>21.8</v>
      </c>
      <c r="G410" s="415">
        <v>21</v>
      </c>
      <c r="H410" s="415">
        <v>20.2</v>
      </c>
      <c r="I410" s="415">
        <v>19.4</v>
      </c>
      <c r="J410" s="415">
        <v>18.6</v>
      </c>
      <c r="K410" s="415">
        <v>17.8</v>
      </c>
    </row>
    <row r="411" ht="12.75" customHeight="1" spans="1:11" x14ac:dyDescent="0.25">
      <c r="A411" s="220">
        <v>108</v>
      </c>
      <c r="B411" s="415">
        <v>25.2</v>
      </c>
      <c r="C411" s="415">
        <v>24.4</v>
      </c>
      <c r="D411" s="415">
        <v>23.5</v>
      </c>
      <c r="E411" s="415">
        <v>22.7</v>
      </c>
      <c r="F411" s="415">
        <v>21.8</v>
      </c>
      <c r="G411" s="415">
        <v>21</v>
      </c>
      <c r="H411" s="415">
        <v>20.2</v>
      </c>
      <c r="I411" s="415">
        <v>19.4</v>
      </c>
      <c r="J411" s="415">
        <v>18.6</v>
      </c>
      <c r="K411" s="415">
        <v>17.8</v>
      </c>
    </row>
    <row r="412" ht="12.75" customHeight="1" spans="1:11" x14ac:dyDescent="0.25">
      <c r="A412" s="220">
        <v>109</v>
      </c>
      <c r="B412" s="415">
        <v>25.2</v>
      </c>
      <c r="C412" s="415">
        <v>24.4</v>
      </c>
      <c r="D412" s="415">
        <v>23.5</v>
      </c>
      <c r="E412" s="415">
        <v>22.7</v>
      </c>
      <c r="F412" s="415">
        <v>21.8</v>
      </c>
      <c r="G412" s="415">
        <v>21</v>
      </c>
      <c r="H412" s="415">
        <v>20.2</v>
      </c>
      <c r="I412" s="415">
        <v>19.4</v>
      </c>
      <c r="J412" s="415">
        <v>18.6</v>
      </c>
      <c r="K412" s="415">
        <v>17.8</v>
      </c>
    </row>
    <row r="413" ht="12.75" customHeight="1" spans="1:11" x14ac:dyDescent="0.25">
      <c r="A413" s="220">
        <v>110</v>
      </c>
      <c r="B413" s="415">
        <v>25.2</v>
      </c>
      <c r="C413" s="415">
        <v>24.4</v>
      </c>
      <c r="D413" s="415">
        <v>23.5</v>
      </c>
      <c r="E413" s="415">
        <v>22.7</v>
      </c>
      <c r="F413" s="415">
        <v>21.8</v>
      </c>
      <c r="G413" s="415">
        <v>21</v>
      </c>
      <c r="H413" s="415">
        <v>20.2</v>
      </c>
      <c r="I413" s="415">
        <v>19.4</v>
      </c>
      <c r="J413" s="415">
        <v>18.6</v>
      </c>
      <c r="K413" s="415">
        <v>17.8</v>
      </c>
    </row>
    <row r="414" ht="12.75" customHeight="1" spans="1:11" x14ac:dyDescent="0.25">
      <c r="A414" s="220">
        <v>111</v>
      </c>
      <c r="B414" s="415">
        <v>25.2</v>
      </c>
      <c r="C414" s="415">
        <v>24.4</v>
      </c>
      <c r="D414" s="415">
        <v>23.5</v>
      </c>
      <c r="E414" s="415">
        <v>22.7</v>
      </c>
      <c r="F414" s="415">
        <v>21.8</v>
      </c>
      <c r="G414" s="415">
        <v>21</v>
      </c>
      <c r="H414" s="415">
        <v>20.2</v>
      </c>
      <c r="I414" s="415">
        <v>19.4</v>
      </c>
      <c r="J414" s="415">
        <v>18.6</v>
      </c>
      <c r="K414" s="415">
        <v>17.8</v>
      </c>
    </row>
    <row r="415" ht="12.75" customHeight="1" spans="1:11" x14ac:dyDescent="0.25">
      <c r="A415" s="220">
        <v>112</v>
      </c>
      <c r="B415" s="415">
        <v>25.2</v>
      </c>
      <c r="C415" s="415">
        <v>24.4</v>
      </c>
      <c r="D415" s="415">
        <v>23.5</v>
      </c>
      <c r="E415" s="415">
        <v>22.7</v>
      </c>
      <c r="F415" s="415">
        <v>21.8</v>
      </c>
      <c r="G415" s="415">
        <v>21</v>
      </c>
      <c r="H415" s="415">
        <v>20.2</v>
      </c>
      <c r="I415" s="415">
        <v>19.4</v>
      </c>
      <c r="J415" s="415">
        <v>18.6</v>
      </c>
      <c r="K415" s="415">
        <v>17.8</v>
      </c>
    </row>
    <row r="416" ht="12.75" customHeight="1" spans="1:11" x14ac:dyDescent="0.25">
      <c r="A416" s="220">
        <v>113</v>
      </c>
      <c r="B416" s="415">
        <v>25.2</v>
      </c>
      <c r="C416" s="415">
        <v>24.4</v>
      </c>
      <c r="D416" s="415">
        <v>23.5</v>
      </c>
      <c r="E416" s="415">
        <v>22.7</v>
      </c>
      <c r="F416" s="415">
        <v>21.8</v>
      </c>
      <c r="G416" s="415">
        <v>21</v>
      </c>
      <c r="H416" s="415">
        <v>20.2</v>
      </c>
      <c r="I416" s="415">
        <v>19.4</v>
      </c>
      <c r="J416" s="415">
        <v>18.6</v>
      </c>
      <c r="K416" s="415">
        <v>17.8</v>
      </c>
    </row>
    <row r="417" ht="12.75" customHeight="1" spans="1:11" x14ac:dyDescent="0.25">
      <c r="A417" s="220">
        <v>114</v>
      </c>
      <c r="B417" s="415">
        <v>25.2</v>
      </c>
      <c r="C417" s="415">
        <v>24.4</v>
      </c>
      <c r="D417" s="415">
        <v>23.5</v>
      </c>
      <c r="E417" s="415">
        <v>22.7</v>
      </c>
      <c r="F417" s="415">
        <v>21.8</v>
      </c>
      <c r="G417" s="415">
        <v>21</v>
      </c>
      <c r="H417" s="415">
        <v>20.2</v>
      </c>
      <c r="I417" s="415">
        <v>19.4</v>
      </c>
      <c r="J417" s="415">
        <v>18.6</v>
      </c>
      <c r="K417" s="415">
        <v>17.8</v>
      </c>
    </row>
    <row r="418" ht="13.5" customHeight="1" spans="1:11" x14ac:dyDescent="0.25">
      <c r="A418" s="220" t="s">
        <v>698</v>
      </c>
      <c r="B418" s="415">
        <v>25.2</v>
      </c>
      <c r="C418" s="415">
        <v>24.4</v>
      </c>
      <c r="D418" s="415">
        <v>23.5</v>
      </c>
      <c r="E418" s="415">
        <v>22.7</v>
      </c>
      <c r="F418" s="415">
        <v>21.8</v>
      </c>
      <c r="G418" s="415">
        <v>21</v>
      </c>
      <c r="H418" s="415">
        <v>20.2</v>
      </c>
      <c r="I418" s="415">
        <v>19.4</v>
      </c>
      <c r="J418" s="415">
        <v>18.6</v>
      </c>
      <c r="K418" s="415">
        <v>17.8</v>
      </c>
    </row>
    <row r="420" ht="13.5" customHeight="1" spans="1:11" x14ac:dyDescent="0.25">
      <c r="A420" s="220" t="s">
        <v>697</v>
      </c>
      <c r="B420" s="220">
        <v>70</v>
      </c>
      <c r="C420" s="220">
        <v>71</v>
      </c>
      <c r="D420" s="220">
        <v>72</v>
      </c>
      <c r="E420" s="220">
        <v>73</v>
      </c>
      <c r="F420" s="220">
        <v>74</v>
      </c>
      <c r="G420" s="220">
        <v>75</v>
      </c>
      <c r="H420" s="220">
        <v>76</v>
      </c>
      <c r="I420" s="220">
        <v>77</v>
      </c>
      <c r="J420" s="220">
        <v>78</v>
      </c>
      <c r="K420" s="220">
        <v>79</v>
      </c>
    </row>
    <row r="421" ht="12.75" customHeight="1" spans="1:11" x14ac:dyDescent="0.25">
      <c r="A421" s="220">
        <v>70</v>
      </c>
      <c r="B421" s="415">
        <v>21.8</v>
      </c>
      <c r="C421" s="415">
        <v>21.3</v>
      </c>
      <c r="D421" s="415">
        <v>20.9</v>
      </c>
      <c r="E421" s="415">
        <v>20.6</v>
      </c>
      <c r="F421" s="415">
        <v>20.2</v>
      </c>
      <c r="G421" s="415">
        <v>19.9</v>
      </c>
      <c r="H421" s="415">
        <v>19.6</v>
      </c>
      <c r="I421" s="415">
        <v>19.4</v>
      </c>
      <c r="J421" s="415">
        <v>19.1</v>
      </c>
      <c r="K421" s="415">
        <v>18.9</v>
      </c>
    </row>
    <row r="422" ht="12.75" customHeight="1" spans="1:11" x14ac:dyDescent="0.25">
      <c r="A422" s="220">
        <v>71</v>
      </c>
      <c r="B422" s="415">
        <v>21.3</v>
      </c>
      <c r="C422" s="415">
        <v>20.9</v>
      </c>
      <c r="D422" s="415">
        <v>20.5</v>
      </c>
      <c r="E422" s="415">
        <v>20.1</v>
      </c>
      <c r="F422" s="415">
        <v>19.7</v>
      </c>
      <c r="G422" s="415">
        <v>19.4</v>
      </c>
      <c r="H422" s="415">
        <v>19.1</v>
      </c>
      <c r="I422" s="415">
        <v>18.8</v>
      </c>
      <c r="J422" s="415">
        <v>18.5</v>
      </c>
      <c r="K422" s="415">
        <v>18.3</v>
      </c>
    </row>
    <row r="423" ht="12.75" customHeight="1" spans="1:11" x14ac:dyDescent="0.25">
      <c r="A423" s="220">
        <v>72</v>
      </c>
      <c r="B423" s="415">
        <v>20.9</v>
      </c>
      <c r="C423" s="415">
        <v>20.5</v>
      </c>
      <c r="D423" s="415">
        <v>20</v>
      </c>
      <c r="E423" s="415">
        <v>19.6</v>
      </c>
      <c r="F423" s="415">
        <v>19.3</v>
      </c>
      <c r="G423" s="415">
        <v>18.9</v>
      </c>
      <c r="H423" s="415">
        <v>18.6</v>
      </c>
      <c r="I423" s="415">
        <v>18.3</v>
      </c>
      <c r="J423" s="415">
        <v>18</v>
      </c>
      <c r="K423" s="415">
        <v>17.7</v>
      </c>
    </row>
    <row r="424" ht="12.75" customHeight="1" spans="1:11" x14ac:dyDescent="0.25">
      <c r="A424" s="220">
        <v>73</v>
      </c>
      <c r="B424" s="415">
        <v>20.6</v>
      </c>
      <c r="C424" s="415">
        <v>20.1</v>
      </c>
      <c r="D424" s="415">
        <v>19.6</v>
      </c>
      <c r="E424" s="415">
        <v>19.2</v>
      </c>
      <c r="F424" s="415">
        <v>18.8</v>
      </c>
      <c r="G424" s="415">
        <v>18.4</v>
      </c>
      <c r="H424" s="415">
        <v>18.1</v>
      </c>
      <c r="I424" s="415">
        <v>17.8</v>
      </c>
      <c r="J424" s="415">
        <v>17.5</v>
      </c>
      <c r="K424" s="415">
        <v>17.2</v>
      </c>
    </row>
    <row r="425" ht="12.75" customHeight="1" spans="1:11" x14ac:dyDescent="0.25">
      <c r="A425" s="220">
        <v>74</v>
      </c>
      <c r="B425" s="415">
        <v>20.2</v>
      </c>
      <c r="C425" s="415">
        <v>19.7</v>
      </c>
      <c r="D425" s="415">
        <v>19.3</v>
      </c>
      <c r="E425" s="415">
        <v>18.8</v>
      </c>
      <c r="F425" s="415">
        <v>18.4</v>
      </c>
      <c r="G425" s="415">
        <v>18</v>
      </c>
      <c r="H425" s="415">
        <v>17.6</v>
      </c>
      <c r="I425" s="415">
        <v>17.3</v>
      </c>
      <c r="J425" s="415">
        <v>17</v>
      </c>
      <c r="K425" s="415">
        <v>16.7</v>
      </c>
    </row>
    <row r="426" ht="12.75" customHeight="1" spans="1:11" x14ac:dyDescent="0.25">
      <c r="A426" s="220">
        <v>75</v>
      </c>
      <c r="B426" s="415">
        <v>19.9</v>
      </c>
      <c r="C426" s="415">
        <v>19.4</v>
      </c>
      <c r="D426" s="415">
        <v>18.9</v>
      </c>
      <c r="E426" s="415">
        <v>18.4</v>
      </c>
      <c r="F426" s="415">
        <v>18</v>
      </c>
      <c r="G426" s="415">
        <v>17.6</v>
      </c>
      <c r="H426" s="415">
        <v>17.2</v>
      </c>
      <c r="I426" s="415">
        <v>16.8</v>
      </c>
      <c r="J426" s="415">
        <v>16.5</v>
      </c>
      <c r="K426" s="415">
        <v>16.2</v>
      </c>
    </row>
    <row r="427" ht="12.75" customHeight="1" spans="1:11" x14ac:dyDescent="0.25">
      <c r="A427" s="220">
        <v>76</v>
      </c>
      <c r="B427" s="415">
        <v>19.6</v>
      </c>
      <c r="C427" s="415">
        <v>19.1</v>
      </c>
      <c r="D427" s="415">
        <v>18.6</v>
      </c>
      <c r="E427" s="415">
        <v>18.1</v>
      </c>
      <c r="F427" s="415">
        <v>17.6</v>
      </c>
      <c r="G427" s="415">
        <v>17.2</v>
      </c>
      <c r="H427" s="415">
        <v>16.8</v>
      </c>
      <c r="I427" s="415">
        <v>16.4</v>
      </c>
      <c r="J427" s="415">
        <v>16</v>
      </c>
      <c r="K427" s="415">
        <v>15.7</v>
      </c>
    </row>
    <row r="428" ht="12.75" customHeight="1" spans="1:11" x14ac:dyDescent="0.25">
      <c r="A428" s="220">
        <v>77</v>
      </c>
      <c r="B428" s="415">
        <v>19.4</v>
      </c>
      <c r="C428" s="415">
        <v>18.8</v>
      </c>
      <c r="D428" s="415">
        <v>18.3</v>
      </c>
      <c r="E428" s="415">
        <v>17.8</v>
      </c>
      <c r="F428" s="415">
        <v>17.3</v>
      </c>
      <c r="G428" s="415">
        <v>16.8</v>
      </c>
      <c r="H428" s="415">
        <v>16.4</v>
      </c>
      <c r="I428" s="415">
        <v>16</v>
      </c>
      <c r="J428" s="415">
        <v>15.6</v>
      </c>
      <c r="K428" s="415">
        <v>15.3</v>
      </c>
    </row>
    <row r="429" ht="12.75" customHeight="1" spans="1:11" x14ac:dyDescent="0.25">
      <c r="A429" s="220">
        <v>78</v>
      </c>
      <c r="B429" s="415">
        <v>19.1</v>
      </c>
      <c r="C429" s="415">
        <v>18.5</v>
      </c>
      <c r="D429" s="415">
        <v>18</v>
      </c>
      <c r="E429" s="415">
        <v>17.5</v>
      </c>
      <c r="F429" s="415">
        <v>17</v>
      </c>
      <c r="G429" s="415">
        <v>16.5</v>
      </c>
      <c r="H429" s="415">
        <v>16</v>
      </c>
      <c r="I429" s="415">
        <v>15.6</v>
      </c>
      <c r="J429" s="415">
        <v>15.2</v>
      </c>
      <c r="K429" s="415">
        <v>14.9</v>
      </c>
    </row>
    <row r="430" ht="12.75" customHeight="1" spans="1:11" x14ac:dyDescent="0.25">
      <c r="A430" s="220">
        <v>79</v>
      </c>
      <c r="B430" s="415">
        <v>18.9</v>
      </c>
      <c r="C430" s="415">
        <v>18.3</v>
      </c>
      <c r="D430" s="415">
        <v>17.7</v>
      </c>
      <c r="E430" s="415">
        <v>17.2</v>
      </c>
      <c r="F430" s="415">
        <v>16.7</v>
      </c>
      <c r="G430" s="415">
        <v>16.2</v>
      </c>
      <c r="H430" s="415">
        <v>15.7</v>
      </c>
      <c r="I430" s="415">
        <v>15.3</v>
      </c>
      <c r="J430" s="415">
        <v>14.9</v>
      </c>
      <c r="K430" s="415">
        <v>14.5</v>
      </c>
    </row>
    <row r="431" ht="12.75" customHeight="1" spans="1:11" x14ac:dyDescent="0.25">
      <c r="A431" s="220">
        <v>80</v>
      </c>
      <c r="B431" s="415">
        <v>18.7</v>
      </c>
      <c r="C431" s="415">
        <v>18.1</v>
      </c>
      <c r="D431" s="415">
        <v>17.5</v>
      </c>
      <c r="E431" s="415">
        <v>16.9</v>
      </c>
      <c r="F431" s="415">
        <v>16.4</v>
      </c>
      <c r="G431" s="415">
        <v>15.9</v>
      </c>
      <c r="H431" s="415">
        <v>15.4</v>
      </c>
      <c r="I431" s="415">
        <v>15</v>
      </c>
      <c r="J431" s="415">
        <v>14.5</v>
      </c>
      <c r="K431" s="415">
        <v>14.1</v>
      </c>
    </row>
    <row r="432" ht="12.75" customHeight="1" spans="1:11" x14ac:dyDescent="0.25">
      <c r="A432" s="220">
        <v>81</v>
      </c>
      <c r="B432" s="415">
        <v>18.5</v>
      </c>
      <c r="C432" s="415">
        <v>17.9</v>
      </c>
      <c r="D432" s="415">
        <v>17.3</v>
      </c>
      <c r="E432" s="415">
        <v>16.7</v>
      </c>
      <c r="F432" s="415">
        <v>16.2</v>
      </c>
      <c r="G432" s="415">
        <v>15.6</v>
      </c>
      <c r="H432" s="415">
        <v>15.1</v>
      </c>
      <c r="I432" s="415">
        <v>14.7</v>
      </c>
      <c r="J432" s="415">
        <v>14.2</v>
      </c>
      <c r="K432" s="415">
        <v>13.8</v>
      </c>
    </row>
    <row r="433" ht="12.75" customHeight="1" spans="1:11" x14ac:dyDescent="0.25">
      <c r="A433" s="220">
        <v>82</v>
      </c>
      <c r="B433" s="415">
        <v>18.3</v>
      </c>
      <c r="C433" s="415">
        <v>17.7</v>
      </c>
      <c r="D433" s="415">
        <v>17.1</v>
      </c>
      <c r="E433" s="415">
        <v>16.5</v>
      </c>
      <c r="F433" s="415">
        <v>15.9</v>
      </c>
      <c r="G433" s="415">
        <v>15.4</v>
      </c>
      <c r="H433" s="415">
        <v>14.9</v>
      </c>
      <c r="I433" s="415">
        <v>14.4</v>
      </c>
      <c r="J433" s="415">
        <v>13.9</v>
      </c>
      <c r="K433" s="415">
        <v>13.5</v>
      </c>
    </row>
    <row r="434" ht="12.75" customHeight="1" spans="1:11" x14ac:dyDescent="0.25">
      <c r="A434" s="220">
        <v>83</v>
      </c>
      <c r="B434" s="415">
        <v>18.2</v>
      </c>
      <c r="C434" s="415">
        <v>17.5</v>
      </c>
      <c r="D434" s="415">
        <v>16.9</v>
      </c>
      <c r="E434" s="415">
        <v>16.3</v>
      </c>
      <c r="F434" s="415">
        <v>15.7</v>
      </c>
      <c r="G434" s="415">
        <v>15.2</v>
      </c>
      <c r="H434" s="415">
        <v>14.7</v>
      </c>
      <c r="I434" s="415">
        <v>14.2</v>
      </c>
      <c r="J434" s="415">
        <v>13.7</v>
      </c>
      <c r="K434" s="415">
        <v>13.2</v>
      </c>
    </row>
    <row r="435" ht="12.75" customHeight="1" spans="1:11" x14ac:dyDescent="0.25">
      <c r="A435" s="220">
        <v>84</v>
      </c>
      <c r="B435" s="415">
        <v>18</v>
      </c>
      <c r="C435" s="415">
        <v>17.4</v>
      </c>
      <c r="D435" s="415">
        <v>16.7</v>
      </c>
      <c r="E435" s="415">
        <v>16.1</v>
      </c>
      <c r="F435" s="415">
        <v>15.5</v>
      </c>
      <c r="G435" s="415">
        <v>15</v>
      </c>
      <c r="H435" s="415">
        <v>14.4</v>
      </c>
      <c r="I435" s="415">
        <v>13.9</v>
      </c>
      <c r="J435" s="415">
        <v>13.4</v>
      </c>
      <c r="K435" s="415">
        <v>13</v>
      </c>
    </row>
    <row r="436" ht="12.75" customHeight="1" spans="1:11" x14ac:dyDescent="0.25">
      <c r="A436" s="220">
        <v>85</v>
      </c>
      <c r="B436" s="415">
        <v>17.9</v>
      </c>
      <c r="C436" s="415">
        <v>17.3</v>
      </c>
      <c r="D436" s="415">
        <v>16.6</v>
      </c>
      <c r="E436" s="415">
        <v>16</v>
      </c>
      <c r="F436" s="415">
        <v>15.4</v>
      </c>
      <c r="G436" s="415">
        <v>14.8</v>
      </c>
      <c r="H436" s="415">
        <v>14.3</v>
      </c>
      <c r="I436" s="415">
        <v>13.7</v>
      </c>
      <c r="J436" s="415">
        <v>13.2</v>
      </c>
      <c r="K436" s="415">
        <v>12.8</v>
      </c>
    </row>
    <row r="437" ht="12.75" customHeight="1" spans="1:11" x14ac:dyDescent="0.25">
      <c r="A437" s="220">
        <v>86</v>
      </c>
      <c r="B437" s="415">
        <v>17.8</v>
      </c>
      <c r="C437" s="415">
        <v>17.1</v>
      </c>
      <c r="D437" s="415">
        <v>16.5</v>
      </c>
      <c r="E437" s="415">
        <v>15.8</v>
      </c>
      <c r="F437" s="415">
        <v>15.2</v>
      </c>
      <c r="G437" s="415">
        <v>14.6</v>
      </c>
      <c r="H437" s="415">
        <v>14.1</v>
      </c>
      <c r="I437" s="415">
        <v>13.5</v>
      </c>
      <c r="J437" s="415">
        <v>13</v>
      </c>
      <c r="K437" s="415">
        <v>12.5</v>
      </c>
    </row>
    <row r="438" ht="12.75" customHeight="1" spans="1:11" x14ac:dyDescent="0.25">
      <c r="A438" s="220">
        <v>87</v>
      </c>
      <c r="B438" s="415">
        <v>17.7</v>
      </c>
      <c r="C438" s="415">
        <v>17</v>
      </c>
      <c r="D438" s="415">
        <v>16.4</v>
      </c>
      <c r="E438" s="415">
        <v>15.7</v>
      </c>
      <c r="F438" s="415">
        <v>15.1</v>
      </c>
      <c r="G438" s="415">
        <v>14.5</v>
      </c>
      <c r="H438" s="415">
        <v>13.9</v>
      </c>
      <c r="I438" s="415">
        <v>13.4</v>
      </c>
      <c r="J438" s="415">
        <v>12.9</v>
      </c>
      <c r="K438" s="415">
        <v>12.4</v>
      </c>
    </row>
    <row r="439" ht="12.75" customHeight="1" spans="1:11" x14ac:dyDescent="0.25">
      <c r="A439" s="220">
        <v>88</v>
      </c>
      <c r="B439" s="415">
        <v>17.6</v>
      </c>
      <c r="C439" s="415">
        <v>16.9</v>
      </c>
      <c r="D439" s="415">
        <v>16.3</v>
      </c>
      <c r="E439" s="415">
        <v>15.6</v>
      </c>
      <c r="F439" s="415">
        <v>15</v>
      </c>
      <c r="G439" s="415">
        <v>14.4</v>
      </c>
      <c r="H439" s="415">
        <v>13.8</v>
      </c>
      <c r="I439" s="415">
        <v>13.2</v>
      </c>
      <c r="J439" s="415">
        <v>12.7</v>
      </c>
      <c r="K439" s="415">
        <v>12.2</v>
      </c>
    </row>
    <row r="440" ht="12.75" customHeight="1" spans="1:11" x14ac:dyDescent="0.25">
      <c r="A440" s="220">
        <v>89</v>
      </c>
      <c r="B440" s="415">
        <v>17.6</v>
      </c>
      <c r="C440" s="415">
        <v>16.9</v>
      </c>
      <c r="D440" s="415">
        <v>16.2</v>
      </c>
      <c r="E440" s="415">
        <v>15.5</v>
      </c>
      <c r="F440" s="415">
        <v>14.9</v>
      </c>
      <c r="G440" s="415">
        <v>14.3</v>
      </c>
      <c r="H440" s="415">
        <v>13.7</v>
      </c>
      <c r="I440" s="415">
        <v>13.1</v>
      </c>
      <c r="J440" s="415">
        <v>12.6</v>
      </c>
      <c r="K440" s="415">
        <v>12</v>
      </c>
    </row>
    <row r="441" ht="12.75" customHeight="1" spans="1:11" x14ac:dyDescent="0.25">
      <c r="A441" s="220">
        <v>90</v>
      </c>
      <c r="B441" s="415">
        <v>17.5</v>
      </c>
      <c r="C441" s="415">
        <v>16.8</v>
      </c>
      <c r="D441" s="415">
        <v>16.1</v>
      </c>
      <c r="E441" s="415">
        <v>15.4</v>
      </c>
      <c r="F441" s="415">
        <v>14.8</v>
      </c>
      <c r="G441" s="415">
        <v>14.2</v>
      </c>
      <c r="H441" s="415">
        <v>13.6</v>
      </c>
      <c r="I441" s="415">
        <v>13</v>
      </c>
      <c r="J441" s="415">
        <v>12.4</v>
      </c>
      <c r="K441" s="415">
        <v>11.9</v>
      </c>
    </row>
    <row r="442" ht="12.75" customHeight="1" spans="1:11" x14ac:dyDescent="0.25">
      <c r="A442" s="220">
        <v>91</v>
      </c>
      <c r="B442" s="415">
        <v>17.4</v>
      </c>
      <c r="C442" s="415">
        <v>16.7</v>
      </c>
      <c r="D442" s="415">
        <v>16</v>
      </c>
      <c r="E442" s="415">
        <v>15.4</v>
      </c>
      <c r="F442" s="415">
        <v>14.7</v>
      </c>
      <c r="G442" s="415">
        <v>14.1</v>
      </c>
      <c r="H442" s="415">
        <v>13.5</v>
      </c>
      <c r="I442" s="415">
        <v>12.9</v>
      </c>
      <c r="J442" s="415">
        <v>12.3</v>
      </c>
      <c r="K442" s="415">
        <v>11.8</v>
      </c>
    </row>
    <row r="443" ht="12.75" customHeight="1" spans="1:11" x14ac:dyDescent="0.25">
      <c r="A443" s="220">
        <v>92</v>
      </c>
      <c r="B443" s="415">
        <v>17.4</v>
      </c>
      <c r="C443" s="415">
        <v>16.7</v>
      </c>
      <c r="D443" s="415">
        <v>16</v>
      </c>
      <c r="E443" s="415">
        <v>15.3</v>
      </c>
      <c r="F443" s="415">
        <v>14.6</v>
      </c>
      <c r="G443" s="415">
        <v>14</v>
      </c>
      <c r="H443" s="415">
        <v>13.4</v>
      </c>
      <c r="I443" s="415">
        <v>12.8</v>
      </c>
      <c r="J443" s="415">
        <v>12.2</v>
      </c>
      <c r="K443" s="415">
        <v>11.7</v>
      </c>
    </row>
    <row r="444" ht="12.75" customHeight="1" spans="1:11" x14ac:dyDescent="0.25">
      <c r="A444" s="220">
        <v>93</v>
      </c>
      <c r="B444" s="415">
        <v>17.3</v>
      </c>
      <c r="C444" s="415">
        <v>16.6</v>
      </c>
      <c r="D444" s="415">
        <v>15.9</v>
      </c>
      <c r="E444" s="415">
        <v>15.2</v>
      </c>
      <c r="F444" s="415">
        <v>14.6</v>
      </c>
      <c r="G444" s="415">
        <v>13.9</v>
      </c>
      <c r="H444" s="415">
        <v>13.3</v>
      </c>
      <c r="I444" s="415">
        <v>12.7</v>
      </c>
      <c r="J444" s="415">
        <v>12.1</v>
      </c>
      <c r="K444" s="415">
        <v>11.6</v>
      </c>
    </row>
    <row r="445" ht="12.75" customHeight="1" spans="1:11" x14ac:dyDescent="0.25">
      <c r="A445" s="220">
        <v>94</v>
      </c>
      <c r="B445" s="415">
        <v>17.3</v>
      </c>
      <c r="C445" s="415">
        <v>16.6</v>
      </c>
      <c r="D445" s="415">
        <v>15.9</v>
      </c>
      <c r="E445" s="415">
        <v>15.2</v>
      </c>
      <c r="F445" s="415">
        <v>14.5</v>
      </c>
      <c r="G445" s="415">
        <v>13.9</v>
      </c>
      <c r="H445" s="415">
        <v>13.2</v>
      </c>
      <c r="I445" s="415">
        <v>12.6</v>
      </c>
      <c r="J445" s="415">
        <v>12</v>
      </c>
      <c r="K445" s="415">
        <v>11.5</v>
      </c>
    </row>
    <row r="446" ht="12.75" customHeight="1" spans="1:11" x14ac:dyDescent="0.25">
      <c r="A446" s="220">
        <v>95</v>
      </c>
      <c r="B446" s="415">
        <v>17.3</v>
      </c>
      <c r="C446" s="415">
        <v>16.5</v>
      </c>
      <c r="D446" s="415">
        <v>15.8</v>
      </c>
      <c r="E446" s="415">
        <v>15.1</v>
      </c>
      <c r="F446" s="415">
        <v>14.5</v>
      </c>
      <c r="G446" s="415">
        <v>13.8</v>
      </c>
      <c r="H446" s="415">
        <v>13.2</v>
      </c>
      <c r="I446" s="415">
        <v>12.6</v>
      </c>
      <c r="J446" s="415">
        <v>12</v>
      </c>
      <c r="K446" s="415">
        <v>11.4</v>
      </c>
    </row>
    <row r="447" ht="12.75" customHeight="1" spans="1:11" x14ac:dyDescent="0.25">
      <c r="A447" s="220">
        <v>96</v>
      </c>
      <c r="B447" s="415">
        <v>17.2</v>
      </c>
      <c r="C447" s="415">
        <v>16.5</v>
      </c>
      <c r="D447" s="415">
        <v>15.8</v>
      </c>
      <c r="E447" s="415">
        <v>15.1</v>
      </c>
      <c r="F447" s="415">
        <v>14.4</v>
      </c>
      <c r="G447" s="415">
        <v>13.8</v>
      </c>
      <c r="H447" s="415">
        <v>13.1</v>
      </c>
      <c r="I447" s="415">
        <v>12.5</v>
      </c>
      <c r="J447" s="415">
        <v>11.9</v>
      </c>
      <c r="K447" s="415">
        <v>11.3</v>
      </c>
    </row>
    <row r="448" ht="12.75" customHeight="1" spans="1:11" x14ac:dyDescent="0.25">
      <c r="A448" s="220">
        <v>97</v>
      </c>
      <c r="B448" s="415">
        <v>17.2</v>
      </c>
      <c r="C448" s="415">
        <v>16.5</v>
      </c>
      <c r="D448" s="415">
        <v>15.8</v>
      </c>
      <c r="E448" s="415">
        <v>15.1</v>
      </c>
      <c r="F448" s="415">
        <v>14.4</v>
      </c>
      <c r="G448" s="415">
        <v>13.7</v>
      </c>
      <c r="H448" s="415">
        <v>13.1</v>
      </c>
      <c r="I448" s="415">
        <v>12.5</v>
      </c>
      <c r="J448" s="415">
        <v>11.9</v>
      </c>
      <c r="K448" s="415">
        <v>11.3</v>
      </c>
    </row>
    <row r="449" ht="12.75" customHeight="1" spans="1:11" x14ac:dyDescent="0.25">
      <c r="A449" s="220">
        <v>98</v>
      </c>
      <c r="B449" s="415">
        <v>17.2</v>
      </c>
      <c r="C449" s="415">
        <v>16.4</v>
      </c>
      <c r="D449" s="415">
        <v>15.7</v>
      </c>
      <c r="E449" s="415">
        <v>15</v>
      </c>
      <c r="F449" s="415">
        <v>14.3</v>
      </c>
      <c r="G449" s="415">
        <v>13.7</v>
      </c>
      <c r="H449" s="415">
        <v>13</v>
      </c>
      <c r="I449" s="415">
        <v>12.4</v>
      </c>
      <c r="J449" s="415">
        <v>11.8</v>
      </c>
      <c r="K449" s="415">
        <v>11.2</v>
      </c>
    </row>
    <row r="450" ht="12.75" customHeight="1" spans="1:11" x14ac:dyDescent="0.25">
      <c r="A450" s="220">
        <v>99</v>
      </c>
      <c r="B450" s="415">
        <v>17.2</v>
      </c>
      <c r="C450" s="415">
        <v>16.4</v>
      </c>
      <c r="D450" s="415">
        <v>15.7</v>
      </c>
      <c r="E450" s="415">
        <v>15</v>
      </c>
      <c r="F450" s="415">
        <v>14.3</v>
      </c>
      <c r="G450" s="415">
        <v>13.6</v>
      </c>
      <c r="H450" s="415">
        <v>13</v>
      </c>
      <c r="I450" s="415">
        <v>12.4</v>
      </c>
      <c r="J450" s="415">
        <v>11.8</v>
      </c>
      <c r="K450" s="415">
        <v>11.2</v>
      </c>
    </row>
    <row r="451" ht="12.75" customHeight="1" spans="1:11" x14ac:dyDescent="0.25">
      <c r="A451" s="220">
        <v>100</v>
      </c>
      <c r="B451" s="415">
        <v>17.1</v>
      </c>
      <c r="C451" s="415">
        <v>16.4</v>
      </c>
      <c r="D451" s="415">
        <v>15.7</v>
      </c>
      <c r="E451" s="415">
        <v>15</v>
      </c>
      <c r="F451" s="415">
        <v>14.3</v>
      </c>
      <c r="G451" s="415">
        <v>13.6</v>
      </c>
      <c r="H451" s="415">
        <v>12.9</v>
      </c>
      <c r="I451" s="415">
        <v>12.3</v>
      </c>
      <c r="J451" s="415">
        <v>11.7</v>
      </c>
      <c r="K451" s="415">
        <v>11.1</v>
      </c>
    </row>
    <row r="452" ht="12.75" customHeight="1" spans="1:11" x14ac:dyDescent="0.25">
      <c r="A452" s="220">
        <v>101</v>
      </c>
      <c r="B452" s="415">
        <v>17.1</v>
      </c>
      <c r="C452" s="415">
        <v>16.4</v>
      </c>
      <c r="D452" s="415">
        <v>15.6</v>
      </c>
      <c r="E452" s="415">
        <v>14.9</v>
      </c>
      <c r="F452" s="415">
        <v>14.2</v>
      </c>
      <c r="G452" s="415">
        <v>13.6</v>
      </c>
      <c r="H452" s="415">
        <v>12.9</v>
      </c>
      <c r="I452" s="415">
        <v>12.3</v>
      </c>
      <c r="J452" s="415">
        <v>11.7</v>
      </c>
      <c r="K452" s="415">
        <v>11.1</v>
      </c>
    </row>
    <row r="453" ht="12.75" customHeight="1" spans="1:11" x14ac:dyDescent="0.25">
      <c r="A453" s="220">
        <v>102</v>
      </c>
      <c r="B453" s="415">
        <v>17.1</v>
      </c>
      <c r="C453" s="415">
        <v>16.4</v>
      </c>
      <c r="D453" s="415">
        <v>15.6</v>
      </c>
      <c r="E453" s="415">
        <v>14.9</v>
      </c>
      <c r="F453" s="415">
        <v>14.2</v>
      </c>
      <c r="G453" s="415">
        <v>13.5</v>
      </c>
      <c r="H453" s="415">
        <v>12.9</v>
      </c>
      <c r="I453" s="415">
        <v>12.2</v>
      </c>
      <c r="J453" s="415">
        <v>11.6</v>
      </c>
      <c r="K453" s="415">
        <v>11</v>
      </c>
    </row>
    <row r="454" ht="12.75" customHeight="1" spans="1:11" x14ac:dyDescent="0.25">
      <c r="A454" s="220">
        <v>103</v>
      </c>
      <c r="B454" s="415">
        <v>17.1</v>
      </c>
      <c r="C454" s="415">
        <v>16.3</v>
      </c>
      <c r="D454" s="415">
        <v>15.6</v>
      </c>
      <c r="E454" s="415">
        <v>14.9</v>
      </c>
      <c r="F454" s="415">
        <v>14.2</v>
      </c>
      <c r="G454" s="415">
        <v>13.5</v>
      </c>
      <c r="H454" s="415">
        <v>12.9</v>
      </c>
      <c r="I454" s="415">
        <v>12.2</v>
      </c>
      <c r="J454" s="415">
        <v>11.6</v>
      </c>
      <c r="K454" s="415">
        <v>11</v>
      </c>
    </row>
    <row r="455" ht="12.75" customHeight="1" spans="1:11" x14ac:dyDescent="0.25">
      <c r="A455" s="220">
        <v>104</v>
      </c>
      <c r="B455" s="415">
        <v>17.1</v>
      </c>
      <c r="C455" s="415">
        <v>16.3</v>
      </c>
      <c r="D455" s="415">
        <v>15.6</v>
      </c>
      <c r="E455" s="415">
        <v>14.9</v>
      </c>
      <c r="F455" s="415">
        <v>14.2</v>
      </c>
      <c r="G455" s="415">
        <v>13.5</v>
      </c>
      <c r="H455" s="415">
        <v>12.8</v>
      </c>
      <c r="I455" s="415">
        <v>12.2</v>
      </c>
      <c r="J455" s="415">
        <v>11.6</v>
      </c>
      <c r="K455" s="415">
        <v>11</v>
      </c>
    </row>
    <row r="456" ht="12.75" customHeight="1" spans="1:11" x14ac:dyDescent="0.25">
      <c r="A456" s="220">
        <v>105</v>
      </c>
      <c r="B456" s="415">
        <v>17.1</v>
      </c>
      <c r="C456" s="415">
        <v>16.3</v>
      </c>
      <c r="D456" s="415">
        <v>15.6</v>
      </c>
      <c r="E456" s="415">
        <v>14.9</v>
      </c>
      <c r="F456" s="415">
        <v>14.2</v>
      </c>
      <c r="G456" s="415">
        <v>13.5</v>
      </c>
      <c r="H456" s="415">
        <v>12.8</v>
      </c>
      <c r="I456" s="415">
        <v>12.2</v>
      </c>
      <c r="J456" s="415">
        <v>11.5</v>
      </c>
      <c r="K456" s="415">
        <v>10.9</v>
      </c>
    </row>
    <row r="457" ht="12.75" customHeight="1" spans="1:11" x14ac:dyDescent="0.25">
      <c r="A457" s="220">
        <v>106</v>
      </c>
      <c r="B457" s="415">
        <v>17.1</v>
      </c>
      <c r="C457" s="415">
        <v>16.3</v>
      </c>
      <c r="D457" s="415">
        <v>15.6</v>
      </c>
      <c r="E457" s="415">
        <v>14.8</v>
      </c>
      <c r="F457" s="415">
        <v>14.1</v>
      </c>
      <c r="G457" s="415">
        <v>13.5</v>
      </c>
      <c r="H457" s="415">
        <v>12.8</v>
      </c>
      <c r="I457" s="415">
        <v>12.2</v>
      </c>
      <c r="J457" s="415">
        <v>11.5</v>
      </c>
      <c r="K457" s="415">
        <v>10.9</v>
      </c>
    </row>
    <row r="458" ht="12.75" customHeight="1" spans="1:11" x14ac:dyDescent="0.25">
      <c r="A458" s="220">
        <v>107</v>
      </c>
      <c r="B458" s="415">
        <v>17</v>
      </c>
      <c r="C458" s="415">
        <v>16.3</v>
      </c>
      <c r="D458" s="415">
        <v>15.6</v>
      </c>
      <c r="E458" s="415">
        <v>14.8</v>
      </c>
      <c r="F458" s="415">
        <v>14.1</v>
      </c>
      <c r="G458" s="415">
        <v>13.4</v>
      </c>
      <c r="H458" s="415">
        <v>12.8</v>
      </c>
      <c r="I458" s="415">
        <v>12.1</v>
      </c>
      <c r="J458" s="415">
        <v>11.5</v>
      </c>
      <c r="K458" s="415">
        <v>10.9</v>
      </c>
    </row>
    <row r="459" ht="12.75" customHeight="1" spans="1:11" x14ac:dyDescent="0.25">
      <c r="A459" s="220">
        <v>108</v>
      </c>
      <c r="B459" s="415">
        <v>17</v>
      </c>
      <c r="C459" s="415">
        <v>16.3</v>
      </c>
      <c r="D459" s="415">
        <v>15.5</v>
      </c>
      <c r="E459" s="415">
        <v>14.8</v>
      </c>
      <c r="F459" s="415">
        <v>14.1</v>
      </c>
      <c r="G459" s="415">
        <v>13.4</v>
      </c>
      <c r="H459" s="415">
        <v>12.8</v>
      </c>
      <c r="I459" s="415">
        <v>12.1</v>
      </c>
      <c r="J459" s="415">
        <v>11.5</v>
      </c>
      <c r="K459" s="415">
        <v>10.9</v>
      </c>
    </row>
    <row r="460" ht="12.75" customHeight="1" spans="1:11" x14ac:dyDescent="0.25">
      <c r="A460" s="220">
        <v>109</v>
      </c>
      <c r="B460" s="415">
        <v>17</v>
      </c>
      <c r="C460" s="415">
        <v>16.3</v>
      </c>
      <c r="D460" s="415">
        <v>15.5</v>
      </c>
      <c r="E460" s="415">
        <v>14.8</v>
      </c>
      <c r="F460" s="415">
        <v>14.1</v>
      </c>
      <c r="G460" s="415">
        <v>13.4</v>
      </c>
      <c r="H460" s="415">
        <v>12.8</v>
      </c>
      <c r="I460" s="415">
        <v>12.1</v>
      </c>
      <c r="J460" s="415">
        <v>11.5</v>
      </c>
      <c r="K460" s="415">
        <v>10.9</v>
      </c>
    </row>
    <row r="461" ht="12.75" customHeight="1" spans="1:11" x14ac:dyDescent="0.25">
      <c r="A461" s="220">
        <v>110</v>
      </c>
      <c r="B461" s="415">
        <v>17</v>
      </c>
      <c r="C461" s="415">
        <v>16.3</v>
      </c>
      <c r="D461" s="415">
        <v>15.5</v>
      </c>
      <c r="E461" s="415">
        <v>14.8</v>
      </c>
      <c r="F461" s="415">
        <v>14.1</v>
      </c>
      <c r="G461" s="415">
        <v>13.4</v>
      </c>
      <c r="H461" s="415">
        <v>12.7</v>
      </c>
      <c r="I461" s="415">
        <v>12.1</v>
      </c>
      <c r="J461" s="415">
        <v>11.5</v>
      </c>
      <c r="K461" s="415">
        <v>10.9</v>
      </c>
    </row>
    <row r="462" ht="12.75" customHeight="1" spans="1:11" x14ac:dyDescent="0.25">
      <c r="A462" s="220">
        <v>111</v>
      </c>
      <c r="B462" s="415">
        <v>17</v>
      </c>
      <c r="C462" s="415">
        <v>16.3</v>
      </c>
      <c r="D462" s="415">
        <v>15.5</v>
      </c>
      <c r="E462" s="415">
        <v>14.8</v>
      </c>
      <c r="F462" s="415">
        <v>14.1</v>
      </c>
      <c r="G462" s="415">
        <v>13.4</v>
      </c>
      <c r="H462" s="415">
        <v>12.7</v>
      </c>
      <c r="I462" s="415">
        <v>12.1</v>
      </c>
      <c r="J462" s="415">
        <v>11.5</v>
      </c>
      <c r="K462" s="415">
        <v>10.8</v>
      </c>
    </row>
    <row r="463" ht="12.75" customHeight="1" spans="1:11" x14ac:dyDescent="0.25">
      <c r="A463" s="220">
        <v>112</v>
      </c>
      <c r="B463" s="415">
        <v>17</v>
      </c>
      <c r="C463" s="415">
        <v>16.3</v>
      </c>
      <c r="D463" s="415">
        <v>15.5</v>
      </c>
      <c r="E463" s="415">
        <v>14.8</v>
      </c>
      <c r="F463" s="415">
        <v>14.1</v>
      </c>
      <c r="G463" s="415">
        <v>13.4</v>
      </c>
      <c r="H463" s="415">
        <v>12.7</v>
      </c>
      <c r="I463" s="415">
        <v>12.1</v>
      </c>
      <c r="J463" s="415">
        <v>11.5</v>
      </c>
      <c r="K463" s="415">
        <v>10.8</v>
      </c>
    </row>
    <row r="464" ht="12.75" customHeight="1" spans="1:11" x14ac:dyDescent="0.25">
      <c r="A464" s="220">
        <v>113</v>
      </c>
      <c r="B464" s="415">
        <v>17</v>
      </c>
      <c r="C464" s="415">
        <v>16.3</v>
      </c>
      <c r="D464" s="415">
        <v>15.5</v>
      </c>
      <c r="E464" s="415">
        <v>14.8</v>
      </c>
      <c r="F464" s="415">
        <v>14.1</v>
      </c>
      <c r="G464" s="415">
        <v>13.4</v>
      </c>
      <c r="H464" s="415">
        <v>12.7</v>
      </c>
      <c r="I464" s="415">
        <v>12.1</v>
      </c>
      <c r="J464" s="415">
        <v>11.4</v>
      </c>
      <c r="K464" s="415">
        <v>10.8</v>
      </c>
    </row>
    <row r="465" ht="12.75" customHeight="1" spans="1:11" x14ac:dyDescent="0.25">
      <c r="A465" s="220">
        <v>114</v>
      </c>
      <c r="B465" s="415">
        <v>17</v>
      </c>
      <c r="C465" s="415">
        <v>16.3</v>
      </c>
      <c r="D465" s="415">
        <v>15.5</v>
      </c>
      <c r="E465" s="415">
        <v>14.8</v>
      </c>
      <c r="F465" s="415">
        <v>14.1</v>
      </c>
      <c r="G465" s="415">
        <v>13.4</v>
      </c>
      <c r="H465" s="415">
        <v>12.7</v>
      </c>
      <c r="I465" s="415">
        <v>12.1</v>
      </c>
      <c r="J465" s="415">
        <v>11.4</v>
      </c>
      <c r="K465" s="415">
        <v>10.8</v>
      </c>
    </row>
    <row r="466" ht="13.5" customHeight="1" spans="1:11" x14ac:dyDescent="0.25">
      <c r="A466" s="220" t="s">
        <v>698</v>
      </c>
      <c r="B466" s="415">
        <v>17</v>
      </c>
      <c r="C466" s="415">
        <v>16.3</v>
      </c>
      <c r="D466" s="415">
        <v>15.5</v>
      </c>
      <c r="E466" s="415">
        <v>14.8</v>
      </c>
      <c r="F466" s="415">
        <v>14.1</v>
      </c>
      <c r="G466" s="415">
        <v>13.4</v>
      </c>
      <c r="H466" s="415">
        <v>12.7</v>
      </c>
      <c r="I466" s="415">
        <v>12.1</v>
      </c>
      <c r="J466" s="415">
        <v>11.4</v>
      </c>
      <c r="K466" s="415">
        <v>10.8</v>
      </c>
    </row>
    <row r="467" ht="12.75" customHeight="1" spans="1:1" x14ac:dyDescent="0.25">
      <c r="A467" s="20"/>
    </row>
    <row r="468" ht="13.5" customHeight="1" spans="1:11" x14ac:dyDescent="0.25">
      <c r="A468" s="220" t="s">
        <v>697</v>
      </c>
      <c r="B468" s="220">
        <v>80</v>
      </c>
      <c r="C468" s="220">
        <v>81</v>
      </c>
      <c r="D468" s="220">
        <v>82</v>
      </c>
      <c r="E468" s="220">
        <v>83</v>
      </c>
      <c r="F468" s="220">
        <v>84</v>
      </c>
      <c r="G468" s="220">
        <v>85</v>
      </c>
      <c r="H468" s="220">
        <v>86</v>
      </c>
      <c r="I468" s="220">
        <v>87</v>
      </c>
      <c r="J468" s="220">
        <v>88</v>
      </c>
      <c r="K468" s="220">
        <v>89</v>
      </c>
    </row>
    <row r="469" ht="12.75" customHeight="1" spans="1:11" x14ac:dyDescent="0.25">
      <c r="A469" s="220">
        <v>80</v>
      </c>
      <c r="B469" s="415">
        <v>13.8</v>
      </c>
      <c r="C469" s="415">
        <v>13.4</v>
      </c>
      <c r="D469" s="415">
        <v>13.1</v>
      </c>
      <c r="E469" s="415">
        <v>12.8</v>
      </c>
      <c r="F469" s="415">
        <v>12.6</v>
      </c>
      <c r="G469" s="415">
        <v>12.3</v>
      </c>
      <c r="H469" s="415">
        <v>12.1</v>
      </c>
      <c r="I469" s="415">
        <v>11.9</v>
      </c>
      <c r="J469" s="415">
        <v>11.7</v>
      </c>
      <c r="K469" s="415">
        <v>11.5</v>
      </c>
    </row>
    <row r="470" ht="12.75" customHeight="1" spans="1:11" x14ac:dyDescent="0.25">
      <c r="A470" s="220">
        <v>81</v>
      </c>
      <c r="B470" s="415">
        <v>13.4</v>
      </c>
      <c r="C470" s="415">
        <v>13.1</v>
      </c>
      <c r="D470" s="415">
        <v>12.7</v>
      </c>
      <c r="E470" s="415">
        <v>12.4</v>
      </c>
      <c r="F470" s="415">
        <v>12.2</v>
      </c>
      <c r="G470" s="415">
        <v>11.9</v>
      </c>
      <c r="H470" s="415">
        <v>11.7</v>
      </c>
      <c r="I470" s="415">
        <v>11.4</v>
      </c>
      <c r="J470" s="415">
        <v>11.3</v>
      </c>
      <c r="K470" s="415">
        <v>11.1</v>
      </c>
    </row>
    <row r="471" ht="12.75" customHeight="1" spans="1:11" x14ac:dyDescent="0.25">
      <c r="A471" s="220">
        <v>82</v>
      </c>
      <c r="B471" s="415">
        <v>13.1</v>
      </c>
      <c r="C471" s="415">
        <v>12.7</v>
      </c>
      <c r="D471" s="415">
        <v>12.4</v>
      </c>
      <c r="E471" s="415">
        <v>12.1</v>
      </c>
      <c r="F471" s="415">
        <v>11.8</v>
      </c>
      <c r="G471" s="415">
        <v>11.5</v>
      </c>
      <c r="H471" s="415">
        <v>11.3</v>
      </c>
      <c r="I471" s="415">
        <v>11</v>
      </c>
      <c r="J471" s="415">
        <v>10.8</v>
      </c>
      <c r="K471" s="415">
        <v>10.6</v>
      </c>
    </row>
    <row r="472" ht="12.75" customHeight="1" spans="1:11" x14ac:dyDescent="0.25">
      <c r="A472" s="220">
        <v>83</v>
      </c>
      <c r="B472" s="415">
        <v>12.8</v>
      </c>
      <c r="C472" s="415">
        <v>12.4</v>
      </c>
      <c r="D472" s="415">
        <v>12.1</v>
      </c>
      <c r="E472" s="415">
        <v>11.7</v>
      </c>
      <c r="F472" s="415">
        <v>11.4</v>
      </c>
      <c r="G472" s="415">
        <v>11.1</v>
      </c>
      <c r="H472" s="415">
        <v>10.9</v>
      </c>
      <c r="I472" s="415">
        <v>10.6</v>
      </c>
      <c r="J472" s="415">
        <v>10.4</v>
      </c>
      <c r="K472" s="415">
        <v>10.2</v>
      </c>
    </row>
    <row r="473" ht="12.75" customHeight="1" spans="1:11" x14ac:dyDescent="0.25">
      <c r="A473" s="220">
        <v>84</v>
      </c>
      <c r="B473" s="415">
        <v>12.6</v>
      </c>
      <c r="C473" s="415">
        <v>12.2</v>
      </c>
      <c r="D473" s="415">
        <v>11.8</v>
      </c>
      <c r="E473" s="415">
        <v>11.4</v>
      </c>
      <c r="F473" s="415">
        <v>11.1</v>
      </c>
      <c r="G473" s="415">
        <v>10.8</v>
      </c>
      <c r="H473" s="415">
        <v>10.5</v>
      </c>
      <c r="I473" s="415">
        <v>10.3</v>
      </c>
      <c r="J473" s="415">
        <v>10.1</v>
      </c>
      <c r="K473" s="415">
        <v>9.9</v>
      </c>
    </row>
    <row r="474" ht="12.75" customHeight="1" spans="1:11" x14ac:dyDescent="0.25">
      <c r="A474" s="220">
        <v>85</v>
      </c>
      <c r="B474" s="415">
        <v>12.3</v>
      </c>
      <c r="C474" s="415">
        <v>11.9</v>
      </c>
      <c r="D474" s="415">
        <v>11.5</v>
      </c>
      <c r="E474" s="415">
        <v>11.1</v>
      </c>
      <c r="F474" s="415">
        <v>10.8</v>
      </c>
      <c r="G474" s="415">
        <v>10.5</v>
      </c>
      <c r="H474" s="415">
        <v>10.2</v>
      </c>
      <c r="I474" s="415">
        <v>9.9</v>
      </c>
      <c r="J474" s="415">
        <v>9.7</v>
      </c>
      <c r="K474" s="415">
        <v>9.5</v>
      </c>
    </row>
    <row r="475" ht="12.75" customHeight="1" spans="1:11" x14ac:dyDescent="0.25">
      <c r="A475" s="220">
        <v>86</v>
      </c>
      <c r="B475" s="415">
        <v>12.1</v>
      </c>
      <c r="C475" s="415">
        <v>11.7</v>
      </c>
      <c r="D475" s="415">
        <v>11.3</v>
      </c>
      <c r="E475" s="415">
        <v>10.9</v>
      </c>
      <c r="F475" s="415">
        <v>10.5</v>
      </c>
      <c r="G475" s="415">
        <v>10.2</v>
      </c>
      <c r="H475" s="415">
        <v>9.9</v>
      </c>
      <c r="I475" s="415">
        <v>9.6</v>
      </c>
      <c r="J475" s="415">
        <v>9.4</v>
      </c>
      <c r="K475" s="415">
        <v>9.2</v>
      </c>
    </row>
    <row r="476" ht="12.75" customHeight="1" spans="1:11" x14ac:dyDescent="0.25">
      <c r="A476" s="220">
        <v>87</v>
      </c>
      <c r="B476" s="415">
        <v>11.9</v>
      </c>
      <c r="C476" s="415">
        <v>11.4</v>
      </c>
      <c r="D476" s="415">
        <v>11</v>
      </c>
      <c r="E476" s="415">
        <v>10.6</v>
      </c>
      <c r="F476" s="415">
        <v>10.3</v>
      </c>
      <c r="G476" s="415">
        <v>9.9</v>
      </c>
      <c r="H476" s="415">
        <v>9.6</v>
      </c>
      <c r="I476" s="415">
        <v>9.4</v>
      </c>
      <c r="J476" s="415">
        <v>9.1</v>
      </c>
      <c r="K476" s="415">
        <v>8.9</v>
      </c>
    </row>
    <row r="477" ht="12.75" customHeight="1" spans="1:11" x14ac:dyDescent="0.25">
      <c r="A477" s="220">
        <v>88</v>
      </c>
      <c r="B477" s="415">
        <v>11.7</v>
      </c>
      <c r="C477" s="415">
        <v>11.3</v>
      </c>
      <c r="D477" s="415">
        <v>10.8</v>
      </c>
      <c r="E477" s="415">
        <v>10.4</v>
      </c>
      <c r="F477" s="415">
        <v>10.1</v>
      </c>
      <c r="G477" s="415">
        <v>9.7</v>
      </c>
      <c r="H477" s="415">
        <v>9.4</v>
      </c>
      <c r="I477" s="415">
        <v>9.1</v>
      </c>
      <c r="J477" s="415">
        <v>8.8</v>
      </c>
      <c r="K477" s="415">
        <v>8.6</v>
      </c>
    </row>
    <row r="478" ht="12.75" customHeight="1" spans="1:11" x14ac:dyDescent="0.25">
      <c r="A478" s="220">
        <v>89</v>
      </c>
      <c r="B478" s="415">
        <v>11.5</v>
      </c>
      <c r="C478" s="415">
        <v>11.1</v>
      </c>
      <c r="D478" s="415">
        <v>10.6</v>
      </c>
      <c r="E478" s="415">
        <v>10.2</v>
      </c>
      <c r="F478" s="415">
        <v>9.9</v>
      </c>
      <c r="G478" s="415">
        <v>9.5</v>
      </c>
      <c r="H478" s="415">
        <v>9.2</v>
      </c>
      <c r="I478" s="415">
        <v>8.9</v>
      </c>
      <c r="J478" s="415">
        <v>8.6</v>
      </c>
      <c r="K478" s="415">
        <v>8.3</v>
      </c>
    </row>
    <row r="479" ht="12.75" customHeight="1" spans="1:11" x14ac:dyDescent="0.25">
      <c r="A479" s="220">
        <v>90</v>
      </c>
      <c r="B479" s="415">
        <v>11.4</v>
      </c>
      <c r="C479" s="415">
        <v>10.9</v>
      </c>
      <c r="D479" s="415">
        <v>10.5</v>
      </c>
      <c r="E479" s="415">
        <v>10.1</v>
      </c>
      <c r="F479" s="415">
        <v>9.7</v>
      </c>
      <c r="G479" s="415">
        <v>9.3</v>
      </c>
      <c r="H479" s="415">
        <v>9</v>
      </c>
      <c r="I479" s="415">
        <v>8.6</v>
      </c>
      <c r="J479" s="415">
        <v>8.3</v>
      </c>
      <c r="K479" s="415">
        <v>8.1</v>
      </c>
    </row>
    <row r="480" ht="12.75" customHeight="1" spans="1:11" x14ac:dyDescent="0.25">
      <c r="A480" s="220">
        <v>91</v>
      </c>
      <c r="B480" s="415">
        <v>11.3</v>
      </c>
      <c r="C480" s="415">
        <v>10.8</v>
      </c>
      <c r="D480" s="415">
        <v>10.3</v>
      </c>
      <c r="E480" s="415">
        <v>9.9</v>
      </c>
      <c r="F480" s="415">
        <v>9.5</v>
      </c>
      <c r="G480" s="415">
        <v>9.1</v>
      </c>
      <c r="H480" s="415">
        <v>8.8</v>
      </c>
      <c r="I480" s="415">
        <v>8.4</v>
      </c>
      <c r="J480" s="415">
        <v>8.1</v>
      </c>
      <c r="K480" s="415">
        <v>7.9</v>
      </c>
    </row>
    <row r="481" ht="12.75" customHeight="1" spans="1:11" x14ac:dyDescent="0.25">
      <c r="A481" s="220">
        <v>92</v>
      </c>
      <c r="B481" s="415">
        <v>11.2</v>
      </c>
      <c r="C481" s="415">
        <v>10.7</v>
      </c>
      <c r="D481" s="415">
        <v>10.2</v>
      </c>
      <c r="E481" s="415">
        <v>9.8</v>
      </c>
      <c r="F481" s="415">
        <v>9.3</v>
      </c>
      <c r="G481" s="415">
        <v>9</v>
      </c>
      <c r="H481" s="415">
        <v>8.6</v>
      </c>
      <c r="I481" s="415">
        <v>8.3</v>
      </c>
      <c r="J481" s="415">
        <v>8</v>
      </c>
      <c r="K481" s="415">
        <v>7.7</v>
      </c>
    </row>
    <row r="482" ht="12.75" customHeight="1" spans="1:11" x14ac:dyDescent="0.25">
      <c r="A482" s="220">
        <v>93</v>
      </c>
      <c r="B482" s="415">
        <v>11.1</v>
      </c>
      <c r="C482" s="415">
        <v>10.6</v>
      </c>
      <c r="D482" s="415">
        <v>10.1</v>
      </c>
      <c r="E482" s="415">
        <v>9.6</v>
      </c>
      <c r="F482" s="415">
        <v>9.2</v>
      </c>
      <c r="G482" s="415">
        <v>8.8</v>
      </c>
      <c r="H482" s="415">
        <v>8.5</v>
      </c>
      <c r="I482" s="415">
        <v>8.1</v>
      </c>
      <c r="J482" s="415">
        <v>7.8</v>
      </c>
      <c r="K482" s="415">
        <v>7.5</v>
      </c>
    </row>
    <row r="483" ht="12.75" customHeight="1" spans="1:11" x14ac:dyDescent="0.25">
      <c r="A483" s="220">
        <v>94</v>
      </c>
      <c r="B483" s="415">
        <v>11</v>
      </c>
      <c r="C483" s="415">
        <v>10.5</v>
      </c>
      <c r="D483" s="415">
        <v>10</v>
      </c>
      <c r="E483" s="415">
        <v>9.5</v>
      </c>
      <c r="F483" s="415">
        <v>9.1</v>
      </c>
      <c r="G483" s="415">
        <v>8.7</v>
      </c>
      <c r="H483" s="415">
        <v>8.3</v>
      </c>
      <c r="I483" s="415">
        <v>8</v>
      </c>
      <c r="J483" s="415">
        <v>7.6</v>
      </c>
      <c r="K483" s="415">
        <v>7.3</v>
      </c>
    </row>
    <row r="484" ht="12.75" customHeight="1" spans="1:11" x14ac:dyDescent="0.25">
      <c r="A484" s="220">
        <v>95</v>
      </c>
      <c r="B484" s="415">
        <v>10.9</v>
      </c>
      <c r="C484" s="415">
        <v>10.4</v>
      </c>
      <c r="D484" s="415">
        <v>9.9</v>
      </c>
      <c r="E484" s="415">
        <v>9.4</v>
      </c>
      <c r="F484" s="415">
        <v>9</v>
      </c>
      <c r="G484" s="415">
        <v>8.6</v>
      </c>
      <c r="H484" s="415">
        <v>8.2</v>
      </c>
      <c r="I484" s="415">
        <v>7.8</v>
      </c>
      <c r="J484" s="415">
        <v>7.5</v>
      </c>
      <c r="K484" s="415">
        <v>7.2</v>
      </c>
    </row>
    <row r="485" ht="12.75" customHeight="1" spans="1:11" x14ac:dyDescent="0.25">
      <c r="A485" s="220">
        <v>96</v>
      </c>
      <c r="B485" s="415">
        <v>10.8</v>
      </c>
      <c r="C485" s="415">
        <v>10.3</v>
      </c>
      <c r="D485" s="415">
        <v>9.8</v>
      </c>
      <c r="E485" s="415">
        <v>9.3</v>
      </c>
      <c r="F485" s="415">
        <v>8.9</v>
      </c>
      <c r="G485" s="415">
        <v>8.5</v>
      </c>
      <c r="H485" s="415">
        <v>8.1</v>
      </c>
      <c r="I485" s="415">
        <v>7.7</v>
      </c>
      <c r="J485" s="415">
        <v>7.4</v>
      </c>
      <c r="K485" s="415">
        <v>7.1</v>
      </c>
    </row>
    <row r="486" ht="12.75" customHeight="1" spans="1:11" x14ac:dyDescent="0.25">
      <c r="A486" s="220">
        <v>97</v>
      </c>
      <c r="B486" s="415">
        <v>10.7</v>
      </c>
      <c r="C486" s="415">
        <v>10.2</v>
      </c>
      <c r="D486" s="415">
        <v>9.7</v>
      </c>
      <c r="E486" s="415">
        <v>9.2</v>
      </c>
      <c r="F486" s="415">
        <v>8.8</v>
      </c>
      <c r="G486" s="415">
        <v>8.4</v>
      </c>
      <c r="H486" s="415">
        <v>8</v>
      </c>
      <c r="I486" s="415">
        <v>7.6</v>
      </c>
      <c r="J486" s="415">
        <v>7.3</v>
      </c>
      <c r="K486" s="415">
        <v>6.9</v>
      </c>
    </row>
    <row r="487" ht="12.75" customHeight="1" spans="1:11" x14ac:dyDescent="0.25">
      <c r="A487" s="220">
        <v>98</v>
      </c>
      <c r="B487" s="415">
        <v>10.7</v>
      </c>
      <c r="C487" s="415">
        <v>10.1</v>
      </c>
      <c r="D487" s="415">
        <v>9.6</v>
      </c>
      <c r="E487" s="415">
        <v>9.2</v>
      </c>
      <c r="F487" s="415">
        <v>8.7</v>
      </c>
      <c r="G487" s="415">
        <v>8.3</v>
      </c>
      <c r="H487" s="415">
        <v>7.9</v>
      </c>
      <c r="I487" s="415">
        <v>7.5</v>
      </c>
      <c r="J487" s="415">
        <v>7.1</v>
      </c>
      <c r="K487" s="415">
        <v>6.8</v>
      </c>
    </row>
    <row r="488" ht="12.75" customHeight="1" spans="1:11" x14ac:dyDescent="0.25">
      <c r="A488" s="220">
        <v>99</v>
      </c>
      <c r="B488" s="415">
        <v>10.6</v>
      </c>
      <c r="C488" s="415">
        <v>10.1</v>
      </c>
      <c r="D488" s="415">
        <v>9.6</v>
      </c>
      <c r="E488" s="415">
        <v>9.1</v>
      </c>
      <c r="F488" s="415">
        <v>8.6</v>
      </c>
      <c r="G488" s="415">
        <v>8.2</v>
      </c>
      <c r="H488" s="415">
        <v>7.8</v>
      </c>
      <c r="I488" s="415">
        <v>7.4</v>
      </c>
      <c r="J488" s="415">
        <v>7</v>
      </c>
      <c r="K488" s="415">
        <v>6.7</v>
      </c>
    </row>
    <row r="489" ht="12.75" customHeight="1" spans="1:11" x14ac:dyDescent="0.25">
      <c r="A489" s="220">
        <v>100</v>
      </c>
      <c r="B489" s="415">
        <v>10.6</v>
      </c>
      <c r="C489" s="415">
        <v>10</v>
      </c>
      <c r="D489" s="415">
        <v>9.5</v>
      </c>
      <c r="E489" s="415">
        <v>9</v>
      </c>
      <c r="F489" s="415">
        <v>8.5</v>
      </c>
      <c r="G489" s="415">
        <v>8.1</v>
      </c>
      <c r="H489" s="415">
        <v>7.7</v>
      </c>
      <c r="I489" s="415">
        <v>7.3</v>
      </c>
      <c r="J489" s="415">
        <v>6.9</v>
      </c>
      <c r="K489" s="415">
        <v>6.6</v>
      </c>
    </row>
    <row r="490" ht="12.75" customHeight="1" spans="1:11" x14ac:dyDescent="0.25">
      <c r="A490" s="220">
        <v>101</v>
      </c>
      <c r="B490" s="415">
        <v>10.5</v>
      </c>
      <c r="C490" s="415">
        <v>10</v>
      </c>
      <c r="D490" s="415">
        <v>9.4</v>
      </c>
      <c r="E490" s="415">
        <v>9</v>
      </c>
      <c r="F490" s="415">
        <v>8.5</v>
      </c>
      <c r="G490" s="415">
        <v>8</v>
      </c>
      <c r="H490" s="415">
        <v>7.6</v>
      </c>
      <c r="I490" s="415">
        <v>7.2</v>
      </c>
      <c r="J490" s="415">
        <v>6.9</v>
      </c>
      <c r="K490" s="415">
        <v>6.5</v>
      </c>
    </row>
    <row r="491" ht="12.75" customHeight="1" spans="1:11" x14ac:dyDescent="0.25">
      <c r="A491" s="220">
        <v>102</v>
      </c>
      <c r="B491" s="415">
        <v>10.5</v>
      </c>
      <c r="C491" s="415">
        <v>9.9</v>
      </c>
      <c r="D491" s="415">
        <v>9.4</v>
      </c>
      <c r="E491" s="415">
        <v>8.9</v>
      </c>
      <c r="F491" s="415">
        <v>8.4</v>
      </c>
      <c r="G491" s="415">
        <v>8</v>
      </c>
      <c r="H491" s="415">
        <v>7.5</v>
      </c>
      <c r="I491" s="415">
        <v>7.1</v>
      </c>
      <c r="J491" s="415">
        <v>6.8</v>
      </c>
      <c r="K491" s="415">
        <v>6.4</v>
      </c>
    </row>
    <row r="492" ht="12.75" customHeight="1" spans="1:11" x14ac:dyDescent="0.25">
      <c r="A492" s="220">
        <v>103</v>
      </c>
      <c r="B492" s="415">
        <v>10.4</v>
      </c>
      <c r="C492" s="415">
        <v>9.9</v>
      </c>
      <c r="D492" s="415">
        <v>9.4</v>
      </c>
      <c r="E492" s="415">
        <v>8.8</v>
      </c>
      <c r="F492" s="415">
        <v>8.4</v>
      </c>
      <c r="G492" s="415">
        <v>7.9</v>
      </c>
      <c r="H492" s="415">
        <v>7.5</v>
      </c>
      <c r="I492" s="415">
        <v>7.1</v>
      </c>
      <c r="J492" s="415">
        <v>6.7</v>
      </c>
      <c r="K492" s="415">
        <v>6.3</v>
      </c>
    </row>
    <row r="493" ht="12.75" customHeight="1" spans="1:11" x14ac:dyDescent="0.25">
      <c r="A493" s="220">
        <v>104</v>
      </c>
      <c r="B493" s="415">
        <v>10.4</v>
      </c>
      <c r="C493" s="415">
        <v>9.8</v>
      </c>
      <c r="D493" s="415">
        <v>9.3</v>
      </c>
      <c r="E493" s="415">
        <v>8.8</v>
      </c>
      <c r="F493" s="415">
        <v>8.3</v>
      </c>
      <c r="G493" s="415">
        <v>7.9</v>
      </c>
      <c r="H493" s="415">
        <v>7.4</v>
      </c>
      <c r="I493" s="415">
        <v>7</v>
      </c>
      <c r="J493" s="415">
        <v>6.6</v>
      </c>
      <c r="K493" s="415">
        <v>6.3</v>
      </c>
    </row>
    <row r="494" ht="12.75" customHeight="1" spans="1:11" x14ac:dyDescent="0.25">
      <c r="A494" s="220">
        <v>105</v>
      </c>
      <c r="B494" s="415">
        <v>10.4</v>
      </c>
      <c r="C494" s="415">
        <v>9.8</v>
      </c>
      <c r="D494" s="415">
        <v>9.3</v>
      </c>
      <c r="E494" s="415">
        <v>8.8</v>
      </c>
      <c r="F494" s="415">
        <v>8.3</v>
      </c>
      <c r="G494" s="415">
        <v>7.8</v>
      </c>
      <c r="H494" s="415">
        <v>7.4</v>
      </c>
      <c r="I494" s="415">
        <v>7</v>
      </c>
      <c r="J494" s="415">
        <v>6.6</v>
      </c>
      <c r="K494" s="415">
        <v>6.2</v>
      </c>
    </row>
    <row r="495" ht="12.75" customHeight="1" spans="1:11" x14ac:dyDescent="0.25">
      <c r="A495" s="220">
        <v>106</v>
      </c>
      <c r="B495" s="415">
        <v>10.3</v>
      </c>
      <c r="C495" s="415">
        <v>9.8</v>
      </c>
      <c r="D495" s="415">
        <v>9.2</v>
      </c>
      <c r="E495" s="415">
        <v>8.7</v>
      </c>
      <c r="F495" s="415">
        <v>8.2</v>
      </c>
      <c r="G495" s="415">
        <v>7.8</v>
      </c>
      <c r="H495" s="415">
        <v>7.3</v>
      </c>
      <c r="I495" s="415">
        <v>6.9</v>
      </c>
      <c r="J495" s="415">
        <v>6.5</v>
      </c>
      <c r="K495" s="415">
        <v>6.2</v>
      </c>
    </row>
    <row r="496" ht="12.75" customHeight="1" spans="1:11" x14ac:dyDescent="0.25">
      <c r="A496" s="220">
        <v>107</v>
      </c>
      <c r="B496" s="415">
        <v>10.3</v>
      </c>
      <c r="C496" s="415">
        <v>9.8</v>
      </c>
      <c r="D496" s="415">
        <v>9.2</v>
      </c>
      <c r="E496" s="415">
        <v>8.7</v>
      </c>
      <c r="F496" s="415">
        <v>8.2</v>
      </c>
      <c r="G496" s="415">
        <v>7.7</v>
      </c>
      <c r="H496" s="415">
        <v>7.3</v>
      </c>
      <c r="I496" s="415">
        <v>6.9</v>
      </c>
      <c r="J496" s="415">
        <v>6.5</v>
      </c>
      <c r="K496" s="415">
        <v>6.1</v>
      </c>
    </row>
    <row r="497" ht="12.75" customHeight="1" spans="1:11" x14ac:dyDescent="0.25">
      <c r="A497" s="220">
        <v>108</v>
      </c>
      <c r="B497" s="415">
        <v>10.3</v>
      </c>
      <c r="C497" s="415">
        <v>9.7</v>
      </c>
      <c r="D497" s="415">
        <v>9.2</v>
      </c>
      <c r="E497" s="415">
        <v>8.7</v>
      </c>
      <c r="F497" s="415">
        <v>8.2</v>
      </c>
      <c r="G497" s="415">
        <v>7.7</v>
      </c>
      <c r="H497" s="415">
        <v>7.3</v>
      </c>
      <c r="I497" s="415">
        <v>6.8</v>
      </c>
      <c r="J497" s="415">
        <v>6.4</v>
      </c>
      <c r="K497" s="415">
        <v>6.1</v>
      </c>
    </row>
    <row r="498" ht="12.75" customHeight="1" spans="1:11" x14ac:dyDescent="0.25">
      <c r="A498" s="220">
        <v>109</v>
      </c>
      <c r="B498" s="415">
        <v>10.3</v>
      </c>
      <c r="C498" s="415">
        <v>9.7</v>
      </c>
      <c r="D498" s="415">
        <v>9.2</v>
      </c>
      <c r="E498" s="415">
        <v>8.7</v>
      </c>
      <c r="F498" s="415">
        <v>8.2</v>
      </c>
      <c r="G498" s="415">
        <v>7.7</v>
      </c>
      <c r="H498" s="415">
        <v>7.2</v>
      </c>
      <c r="I498" s="415">
        <v>6.8</v>
      </c>
      <c r="J498" s="415">
        <v>6.4</v>
      </c>
      <c r="K498" s="415">
        <v>6</v>
      </c>
    </row>
    <row r="499" ht="12.75" customHeight="1" spans="1:11" x14ac:dyDescent="0.25">
      <c r="A499" s="220">
        <v>110</v>
      </c>
      <c r="B499" s="415">
        <v>10.3</v>
      </c>
      <c r="C499" s="415">
        <v>9.7</v>
      </c>
      <c r="D499" s="415">
        <v>9.2</v>
      </c>
      <c r="E499" s="415">
        <v>8.6</v>
      </c>
      <c r="F499" s="415">
        <v>8.1</v>
      </c>
      <c r="G499" s="415">
        <v>7.7</v>
      </c>
      <c r="H499" s="415">
        <v>7.2</v>
      </c>
      <c r="I499" s="415">
        <v>6.8</v>
      </c>
      <c r="J499" s="415">
        <v>6.4</v>
      </c>
      <c r="K499" s="415">
        <v>6</v>
      </c>
    </row>
    <row r="500" ht="12.75" customHeight="1" spans="1:11" x14ac:dyDescent="0.25">
      <c r="A500" s="220">
        <v>111</v>
      </c>
      <c r="B500" s="415">
        <v>10.3</v>
      </c>
      <c r="C500" s="415">
        <v>9.7</v>
      </c>
      <c r="D500" s="415">
        <v>9.1</v>
      </c>
      <c r="E500" s="415">
        <v>8.6</v>
      </c>
      <c r="F500" s="415">
        <v>8.1</v>
      </c>
      <c r="G500" s="415">
        <v>7.6</v>
      </c>
      <c r="H500" s="415">
        <v>7.2</v>
      </c>
      <c r="I500" s="415">
        <v>6.8</v>
      </c>
      <c r="J500" s="415">
        <v>6.3</v>
      </c>
      <c r="K500" s="415">
        <v>6</v>
      </c>
    </row>
    <row r="501" ht="12.75" customHeight="1" spans="1:11" x14ac:dyDescent="0.25">
      <c r="A501" s="220">
        <v>112</v>
      </c>
      <c r="B501" s="415">
        <v>10.2</v>
      </c>
      <c r="C501" s="415">
        <v>9.7</v>
      </c>
      <c r="D501" s="415">
        <v>9.1</v>
      </c>
      <c r="E501" s="415">
        <v>8.6</v>
      </c>
      <c r="F501" s="415">
        <v>8.1</v>
      </c>
      <c r="G501" s="415">
        <v>7.6</v>
      </c>
      <c r="H501" s="415">
        <v>7.2</v>
      </c>
      <c r="I501" s="415">
        <v>6.7</v>
      </c>
      <c r="J501" s="415">
        <v>6.3</v>
      </c>
      <c r="K501" s="415">
        <v>5.9</v>
      </c>
    </row>
    <row r="502" ht="12.75" customHeight="1" spans="1:11" x14ac:dyDescent="0.25">
      <c r="A502" s="220">
        <v>113</v>
      </c>
      <c r="B502" s="415">
        <v>10.2</v>
      </c>
      <c r="C502" s="415">
        <v>9.7</v>
      </c>
      <c r="D502" s="415">
        <v>9.1</v>
      </c>
      <c r="E502" s="415">
        <v>8.6</v>
      </c>
      <c r="F502" s="415">
        <v>8.1</v>
      </c>
      <c r="G502" s="415">
        <v>7.6</v>
      </c>
      <c r="H502" s="415">
        <v>7.2</v>
      </c>
      <c r="I502" s="415">
        <v>6.7</v>
      </c>
      <c r="J502" s="415">
        <v>6.3</v>
      </c>
      <c r="K502" s="415">
        <v>5.9</v>
      </c>
    </row>
    <row r="503" ht="12.75" customHeight="1" spans="1:11" x14ac:dyDescent="0.25">
      <c r="A503" s="220">
        <v>114</v>
      </c>
      <c r="B503" s="415">
        <v>10.2</v>
      </c>
      <c r="C503" s="415">
        <v>9.7</v>
      </c>
      <c r="D503" s="415">
        <v>9.1</v>
      </c>
      <c r="E503" s="415">
        <v>8.6</v>
      </c>
      <c r="F503" s="415">
        <v>8.1</v>
      </c>
      <c r="G503" s="415">
        <v>7.6</v>
      </c>
      <c r="H503" s="415">
        <v>7.1</v>
      </c>
      <c r="I503" s="415">
        <v>6.7</v>
      </c>
      <c r="J503" s="415">
        <v>6.3</v>
      </c>
      <c r="K503" s="415">
        <v>5.9</v>
      </c>
    </row>
    <row r="504" ht="13.5" customHeight="1" spans="1:11" x14ac:dyDescent="0.25">
      <c r="A504" s="220" t="s">
        <v>698</v>
      </c>
      <c r="B504" s="415">
        <v>10.2</v>
      </c>
      <c r="C504" s="415">
        <v>9.7</v>
      </c>
      <c r="D504" s="415">
        <v>9.1</v>
      </c>
      <c r="E504" s="415">
        <v>8.6</v>
      </c>
      <c r="F504" s="415">
        <v>8.1</v>
      </c>
      <c r="G504" s="415">
        <v>7.6</v>
      </c>
      <c r="H504" s="415">
        <v>7.1</v>
      </c>
      <c r="I504" s="415">
        <v>6.7</v>
      </c>
      <c r="J504" s="415">
        <v>6.3</v>
      </c>
      <c r="K504" s="415">
        <v>5.9</v>
      </c>
    </row>
    <row r="506" ht="13.5" customHeight="1" spans="1:11" x14ac:dyDescent="0.25">
      <c r="A506" s="220" t="s">
        <v>697</v>
      </c>
      <c r="B506" s="220">
        <v>90</v>
      </c>
      <c r="C506" s="220">
        <v>91</v>
      </c>
      <c r="D506" s="220">
        <v>92</v>
      </c>
      <c r="E506" s="220">
        <v>93</v>
      </c>
      <c r="F506" s="220">
        <v>94</v>
      </c>
      <c r="G506" s="220">
        <v>95</v>
      </c>
      <c r="H506" s="220">
        <v>96</v>
      </c>
      <c r="I506" s="220">
        <v>97</v>
      </c>
      <c r="J506" s="220">
        <v>98</v>
      </c>
      <c r="K506" s="220">
        <v>99</v>
      </c>
    </row>
    <row r="507" ht="12.75" customHeight="1" spans="1:11" x14ac:dyDescent="0.25">
      <c r="A507" s="220">
        <v>90</v>
      </c>
      <c r="B507" s="415">
        <v>7.8</v>
      </c>
      <c r="C507" s="415">
        <v>7.6</v>
      </c>
      <c r="D507" s="415">
        <v>7.4</v>
      </c>
      <c r="E507" s="415">
        <v>7.2</v>
      </c>
      <c r="F507" s="415">
        <v>7.1</v>
      </c>
      <c r="G507" s="415">
        <v>6.9</v>
      </c>
      <c r="H507" s="415">
        <v>6.8</v>
      </c>
      <c r="I507" s="415">
        <v>6.6</v>
      </c>
      <c r="J507" s="415">
        <v>6.5</v>
      </c>
      <c r="K507" s="415">
        <v>6.4</v>
      </c>
    </row>
    <row r="508" ht="12.75" customHeight="1" spans="1:11" x14ac:dyDescent="0.25">
      <c r="A508" s="220">
        <v>91</v>
      </c>
      <c r="B508" s="415">
        <v>7.6</v>
      </c>
      <c r="C508" s="415">
        <v>7.4</v>
      </c>
      <c r="D508" s="415">
        <v>7.2</v>
      </c>
      <c r="E508" s="415">
        <v>7</v>
      </c>
      <c r="F508" s="415">
        <v>6.8</v>
      </c>
      <c r="G508" s="415">
        <v>6.7</v>
      </c>
      <c r="H508" s="415">
        <v>6.5</v>
      </c>
      <c r="I508" s="415">
        <v>6.4</v>
      </c>
      <c r="J508" s="415">
        <v>6.3</v>
      </c>
      <c r="K508" s="415">
        <v>6.1</v>
      </c>
    </row>
    <row r="509" ht="12.75" customHeight="1" spans="1:11" x14ac:dyDescent="0.25">
      <c r="A509" s="220">
        <v>92</v>
      </c>
      <c r="B509" s="415">
        <v>7.4</v>
      </c>
      <c r="C509" s="415">
        <v>7.2</v>
      </c>
      <c r="D509" s="415">
        <v>7</v>
      </c>
      <c r="E509" s="415">
        <v>6.8</v>
      </c>
      <c r="F509" s="415">
        <v>6.6</v>
      </c>
      <c r="G509" s="415">
        <v>6.4</v>
      </c>
      <c r="H509" s="415">
        <v>6.3</v>
      </c>
      <c r="I509" s="415">
        <v>6.1</v>
      </c>
      <c r="J509" s="415">
        <v>6</v>
      </c>
      <c r="K509" s="415">
        <v>5.9</v>
      </c>
    </row>
    <row r="510" ht="12.75" customHeight="1" spans="1:11" x14ac:dyDescent="0.25">
      <c r="A510" s="220">
        <v>93</v>
      </c>
      <c r="B510" s="415">
        <v>7.2</v>
      </c>
      <c r="C510" s="415">
        <v>7</v>
      </c>
      <c r="D510" s="415">
        <v>6.8</v>
      </c>
      <c r="E510" s="415">
        <v>6.6</v>
      </c>
      <c r="F510" s="415">
        <v>6.4</v>
      </c>
      <c r="G510" s="415">
        <v>6.2</v>
      </c>
      <c r="H510" s="415">
        <v>6.1</v>
      </c>
      <c r="I510" s="415">
        <v>5.9</v>
      </c>
      <c r="J510" s="415">
        <v>5.8</v>
      </c>
      <c r="K510" s="415">
        <v>5.6</v>
      </c>
    </row>
    <row r="511" ht="12.75" customHeight="1" spans="1:11" x14ac:dyDescent="0.25">
      <c r="A511" s="220">
        <v>94</v>
      </c>
      <c r="B511" s="415">
        <v>7.1</v>
      </c>
      <c r="C511" s="415">
        <v>6.8</v>
      </c>
      <c r="D511" s="415">
        <v>6.6</v>
      </c>
      <c r="E511" s="415">
        <v>6.4</v>
      </c>
      <c r="F511" s="415">
        <v>6.2</v>
      </c>
      <c r="G511" s="415">
        <v>6</v>
      </c>
      <c r="H511" s="415">
        <v>5.9</v>
      </c>
      <c r="I511" s="415">
        <v>5.7</v>
      </c>
      <c r="J511" s="415">
        <v>5.6</v>
      </c>
      <c r="K511" s="415">
        <v>5.4</v>
      </c>
    </row>
    <row r="512" ht="12.75" customHeight="1" spans="1:11" x14ac:dyDescent="0.25">
      <c r="A512" s="220">
        <v>95</v>
      </c>
      <c r="B512" s="415">
        <v>6.9</v>
      </c>
      <c r="C512" s="415">
        <v>6.7</v>
      </c>
      <c r="D512" s="415">
        <v>6.4</v>
      </c>
      <c r="E512" s="415">
        <v>6.2</v>
      </c>
      <c r="F512" s="415">
        <v>6</v>
      </c>
      <c r="G512" s="415">
        <v>5.8</v>
      </c>
      <c r="H512" s="415">
        <v>5.7</v>
      </c>
      <c r="I512" s="415">
        <v>5.5</v>
      </c>
      <c r="J512" s="415">
        <v>5.4</v>
      </c>
      <c r="K512" s="415">
        <v>5.2</v>
      </c>
    </row>
    <row r="513" ht="12.75" customHeight="1" spans="1:11" x14ac:dyDescent="0.25">
      <c r="A513" s="220">
        <v>96</v>
      </c>
      <c r="B513" s="415">
        <v>6.8</v>
      </c>
      <c r="C513" s="415">
        <v>6.5</v>
      </c>
      <c r="D513" s="415">
        <v>6.3</v>
      </c>
      <c r="E513" s="415">
        <v>6.1</v>
      </c>
      <c r="F513" s="415">
        <v>5.9</v>
      </c>
      <c r="G513" s="415">
        <v>5.7</v>
      </c>
      <c r="H513" s="415">
        <v>5.5</v>
      </c>
      <c r="I513" s="415">
        <v>5.3</v>
      </c>
      <c r="J513" s="415">
        <v>5.2</v>
      </c>
      <c r="K513" s="415">
        <v>5</v>
      </c>
    </row>
    <row r="514" ht="12.75" customHeight="1" spans="1:11" x14ac:dyDescent="0.25">
      <c r="A514" s="220">
        <v>97</v>
      </c>
      <c r="B514" s="415">
        <v>6.6</v>
      </c>
      <c r="C514" s="415">
        <v>6.4</v>
      </c>
      <c r="D514" s="415">
        <v>6.1</v>
      </c>
      <c r="E514" s="415">
        <v>5.9</v>
      </c>
      <c r="F514" s="415">
        <v>5.7</v>
      </c>
      <c r="G514" s="415">
        <v>5.5</v>
      </c>
      <c r="H514" s="415">
        <v>5.3</v>
      </c>
      <c r="I514" s="415">
        <v>5.2</v>
      </c>
      <c r="J514" s="415">
        <v>5</v>
      </c>
      <c r="K514" s="415">
        <v>4.9</v>
      </c>
    </row>
    <row r="515" ht="12.75" customHeight="1" spans="1:11" x14ac:dyDescent="0.25">
      <c r="A515" s="220">
        <v>98</v>
      </c>
      <c r="B515" s="415">
        <v>6.5</v>
      </c>
      <c r="C515" s="415">
        <v>6.3</v>
      </c>
      <c r="D515" s="415">
        <v>6</v>
      </c>
      <c r="E515" s="415">
        <v>5.8</v>
      </c>
      <c r="F515" s="415">
        <v>5.6</v>
      </c>
      <c r="G515" s="415">
        <v>5.4</v>
      </c>
      <c r="H515" s="415">
        <v>5.2</v>
      </c>
      <c r="I515" s="415">
        <v>5</v>
      </c>
      <c r="J515" s="415">
        <v>4.8</v>
      </c>
      <c r="K515" s="415">
        <v>4.7</v>
      </c>
    </row>
    <row r="516" ht="12.75" customHeight="1" spans="1:11" x14ac:dyDescent="0.25">
      <c r="A516" s="220">
        <v>99</v>
      </c>
      <c r="B516" s="415">
        <v>6.4</v>
      </c>
      <c r="C516" s="415">
        <v>6.1</v>
      </c>
      <c r="D516" s="415">
        <v>5.9</v>
      </c>
      <c r="E516" s="415">
        <v>5.6</v>
      </c>
      <c r="F516" s="415">
        <v>5.4</v>
      </c>
      <c r="G516" s="415">
        <v>5.2</v>
      </c>
      <c r="H516" s="415">
        <v>5</v>
      </c>
      <c r="I516" s="415">
        <v>4.9</v>
      </c>
      <c r="J516" s="415">
        <v>4.7</v>
      </c>
      <c r="K516" s="415">
        <v>4.5</v>
      </c>
    </row>
    <row r="517" ht="12.75" customHeight="1" spans="1:11" x14ac:dyDescent="0.25">
      <c r="A517" s="220">
        <v>100</v>
      </c>
      <c r="B517" s="415">
        <v>6.3</v>
      </c>
      <c r="C517" s="415">
        <v>6</v>
      </c>
      <c r="D517" s="415">
        <v>5.8</v>
      </c>
      <c r="E517" s="415">
        <v>5.5</v>
      </c>
      <c r="F517" s="415">
        <v>5.3</v>
      </c>
      <c r="G517" s="415">
        <v>5.1</v>
      </c>
      <c r="H517" s="415">
        <v>4.9</v>
      </c>
      <c r="I517" s="415">
        <v>4.7</v>
      </c>
      <c r="J517" s="415">
        <v>4.5</v>
      </c>
      <c r="K517" s="415">
        <v>4.4</v>
      </c>
    </row>
    <row r="518" ht="12.75" customHeight="1" spans="1:11" x14ac:dyDescent="0.25">
      <c r="A518" s="220">
        <v>101</v>
      </c>
      <c r="B518" s="415">
        <v>6.2</v>
      </c>
      <c r="C518" s="415">
        <v>5.9</v>
      </c>
      <c r="D518" s="415">
        <v>5.6</v>
      </c>
      <c r="E518" s="415">
        <v>5.4</v>
      </c>
      <c r="F518" s="415">
        <v>5.2</v>
      </c>
      <c r="G518" s="415">
        <v>5</v>
      </c>
      <c r="H518" s="415">
        <v>4.8</v>
      </c>
      <c r="I518" s="415">
        <v>4.6</v>
      </c>
      <c r="J518" s="415">
        <v>4.4</v>
      </c>
      <c r="K518" s="415">
        <v>4.2</v>
      </c>
    </row>
    <row r="519" ht="12.75" customHeight="1" spans="1:11" x14ac:dyDescent="0.25">
      <c r="A519" s="220">
        <v>102</v>
      </c>
      <c r="B519" s="415">
        <v>6.1</v>
      </c>
      <c r="C519" s="415">
        <v>5.8</v>
      </c>
      <c r="D519" s="415">
        <v>5.5</v>
      </c>
      <c r="E519" s="415">
        <v>5.3</v>
      </c>
      <c r="F519" s="415">
        <v>5.1</v>
      </c>
      <c r="G519" s="415">
        <v>4.8</v>
      </c>
      <c r="H519" s="415">
        <v>4.6</v>
      </c>
      <c r="I519" s="415">
        <v>4.4</v>
      </c>
      <c r="J519" s="415">
        <v>4.3</v>
      </c>
      <c r="K519" s="415">
        <v>4.1</v>
      </c>
    </row>
    <row r="520" ht="12.75" customHeight="1" spans="1:11" x14ac:dyDescent="0.25">
      <c r="A520" s="220">
        <v>103</v>
      </c>
      <c r="B520" s="415">
        <v>6</v>
      </c>
      <c r="C520" s="415">
        <v>5.7</v>
      </c>
      <c r="D520" s="415">
        <v>5.4</v>
      </c>
      <c r="E520" s="415">
        <v>5.2</v>
      </c>
      <c r="F520" s="415">
        <v>5</v>
      </c>
      <c r="G520" s="415">
        <v>4.7</v>
      </c>
      <c r="H520" s="415">
        <v>4.5</v>
      </c>
      <c r="I520" s="415">
        <v>4.3</v>
      </c>
      <c r="J520" s="415">
        <v>4.1</v>
      </c>
      <c r="K520" s="415">
        <v>4</v>
      </c>
    </row>
    <row r="521" ht="12.75" customHeight="1" spans="1:11" x14ac:dyDescent="0.25">
      <c r="A521" s="220">
        <v>104</v>
      </c>
      <c r="B521" s="415">
        <v>5.9</v>
      </c>
      <c r="C521" s="415">
        <v>5.6</v>
      </c>
      <c r="D521" s="415">
        <v>5.4</v>
      </c>
      <c r="E521" s="415">
        <v>5.1</v>
      </c>
      <c r="F521" s="415">
        <v>4.9</v>
      </c>
      <c r="G521" s="415">
        <v>4.6</v>
      </c>
      <c r="H521" s="415">
        <v>4.4</v>
      </c>
      <c r="I521" s="415">
        <v>4.2</v>
      </c>
      <c r="J521" s="415">
        <v>4</v>
      </c>
      <c r="K521" s="415">
        <v>3.8</v>
      </c>
    </row>
    <row r="522" ht="12.75" customHeight="1" spans="1:11" x14ac:dyDescent="0.25">
      <c r="A522" s="220">
        <v>105</v>
      </c>
      <c r="B522" s="415">
        <v>5.9</v>
      </c>
      <c r="C522" s="415">
        <v>5.6</v>
      </c>
      <c r="D522" s="415">
        <v>5.3</v>
      </c>
      <c r="E522" s="415">
        <v>5</v>
      </c>
      <c r="F522" s="415">
        <v>4.8</v>
      </c>
      <c r="G522" s="415">
        <v>4.5</v>
      </c>
      <c r="H522" s="415">
        <v>4.3</v>
      </c>
      <c r="I522" s="415">
        <v>4.1</v>
      </c>
      <c r="J522" s="415">
        <v>3.9</v>
      </c>
      <c r="K522" s="415">
        <v>3.7</v>
      </c>
    </row>
    <row r="523" ht="12.75" customHeight="1" spans="1:11" x14ac:dyDescent="0.25">
      <c r="A523" s="220">
        <v>106</v>
      </c>
      <c r="B523" s="415">
        <v>5.8</v>
      </c>
      <c r="C523" s="415">
        <v>5.5</v>
      </c>
      <c r="D523" s="415">
        <v>5.2</v>
      </c>
      <c r="E523" s="415">
        <v>4.9</v>
      </c>
      <c r="F523" s="415">
        <v>4.7</v>
      </c>
      <c r="G523" s="415">
        <v>4.5</v>
      </c>
      <c r="H523" s="415">
        <v>4.2</v>
      </c>
      <c r="I523" s="415">
        <v>4</v>
      </c>
      <c r="J523" s="415">
        <v>3.8</v>
      </c>
      <c r="K523" s="415">
        <v>3.6</v>
      </c>
    </row>
    <row r="524" ht="12.75" customHeight="1" spans="1:11" x14ac:dyDescent="0.25">
      <c r="A524" s="220">
        <v>107</v>
      </c>
      <c r="B524" s="415">
        <v>5.8</v>
      </c>
      <c r="C524" s="415">
        <v>5.4</v>
      </c>
      <c r="D524" s="415">
        <v>5.1</v>
      </c>
      <c r="E524" s="415">
        <v>4.9</v>
      </c>
      <c r="F524" s="415">
        <v>4.6</v>
      </c>
      <c r="G524" s="415">
        <v>4.4</v>
      </c>
      <c r="H524" s="415">
        <v>4.2</v>
      </c>
      <c r="I524" s="415">
        <v>3.9</v>
      </c>
      <c r="J524" s="415">
        <v>3.7</v>
      </c>
      <c r="K524" s="415">
        <v>3.5</v>
      </c>
    </row>
    <row r="525" ht="12.75" customHeight="1" spans="1:11" x14ac:dyDescent="0.25">
      <c r="A525" s="220">
        <v>108</v>
      </c>
      <c r="B525" s="415">
        <v>5.7</v>
      </c>
      <c r="C525" s="415">
        <v>5.4</v>
      </c>
      <c r="D525" s="415">
        <v>5.1</v>
      </c>
      <c r="E525" s="415">
        <v>4.8</v>
      </c>
      <c r="F525" s="415">
        <v>4.6</v>
      </c>
      <c r="G525" s="415">
        <v>4.3</v>
      </c>
      <c r="H525" s="415">
        <v>4.1</v>
      </c>
      <c r="I525" s="415">
        <v>3.9</v>
      </c>
      <c r="J525" s="415">
        <v>3.7</v>
      </c>
      <c r="K525" s="415">
        <v>3.5</v>
      </c>
    </row>
    <row r="526" ht="12.75" customHeight="1" spans="1:11" x14ac:dyDescent="0.25">
      <c r="A526" s="220">
        <v>109</v>
      </c>
      <c r="B526" s="415">
        <v>5.7</v>
      </c>
      <c r="C526" s="415">
        <v>5.3</v>
      </c>
      <c r="D526" s="415">
        <v>5</v>
      </c>
      <c r="E526" s="415">
        <v>4.8</v>
      </c>
      <c r="F526" s="415">
        <v>4.5</v>
      </c>
      <c r="G526" s="415">
        <v>4.3</v>
      </c>
      <c r="H526" s="415">
        <v>4</v>
      </c>
      <c r="I526" s="415">
        <v>3.8</v>
      </c>
      <c r="J526" s="415">
        <v>3.6</v>
      </c>
      <c r="K526" s="415">
        <v>3.4</v>
      </c>
    </row>
    <row r="527" ht="12.75" customHeight="1" spans="1:11" x14ac:dyDescent="0.25">
      <c r="A527" s="220">
        <v>110</v>
      </c>
      <c r="B527" s="415">
        <v>5.6</v>
      </c>
      <c r="C527" s="415">
        <v>5.3</v>
      </c>
      <c r="D527" s="415">
        <v>5</v>
      </c>
      <c r="E527" s="415">
        <v>4.7</v>
      </c>
      <c r="F527" s="415">
        <v>4.5</v>
      </c>
      <c r="G527" s="415">
        <v>4.2</v>
      </c>
      <c r="H527" s="415">
        <v>4</v>
      </c>
      <c r="I527" s="415">
        <v>3.8</v>
      </c>
      <c r="J527" s="415">
        <v>3.5</v>
      </c>
      <c r="K527" s="415">
        <v>3.3</v>
      </c>
    </row>
    <row r="528" ht="12.75" customHeight="1" spans="1:11" x14ac:dyDescent="0.25">
      <c r="A528" s="220">
        <v>111</v>
      </c>
      <c r="B528" s="415">
        <v>5.6</v>
      </c>
      <c r="C528" s="415">
        <v>5.3</v>
      </c>
      <c r="D528" s="415">
        <v>5</v>
      </c>
      <c r="E528" s="415">
        <v>4.7</v>
      </c>
      <c r="F528" s="415">
        <v>4.4</v>
      </c>
      <c r="G528" s="415">
        <v>4.2</v>
      </c>
      <c r="H528" s="415">
        <v>3.9</v>
      </c>
      <c r="I528" s="415">
        <v>3.7</v>
      </c>
      <c r="J528" s="415">
        <v>3.5</v>
      </c>
      <c r="K528" s="415">
        <v>3.3</v>
      </c>
    </row>
    <row r="529" ht="12.75" customHeight="1" spans="1:11" x14ac:dyDescent="0.25">
      <c r="A529" s="220">
        <v>112</v>
      </c>
      <c r="B529" s="415">
        <v>5.6</v>
      </c>
      <c r="C529" s="415">
        <v>5.3</v>
      </c>
      <c r="D529" s="415">
        <v>4.9</v>
      </c>
      <c r="E529" s="415">
        <v>4.7</v>
      </c>
      <c r="F529" s="415">
        <v>4.4</v>
      </c>
      <c r="G529" s="415">
        <v>4.1</v>
      </c>
      <c r="H529" s="415">
        <v>3.9</v>
      </c>
      <c r="I529" s="415">
        <v>3.7</v>
      </c>
      <c r="J529" s="415">
        <v>3.5</v>
      </c>
      <c r="K529" s="415">
        <v>3.2</v>
      </c>
    </row>
    <row r="530" ht="12.75" customHeight="1" spans="1:11" x14ac:dyDescent="0.25">
      <c r="A530" s="220">
        <v>113</v>
      </c>
      <c r="B530" s="415">
        <v>5.6</v>
      </c>
      <c r="C530" s="415">
        <v>5.2</v>
      </c>
      <c r="D530" s="415">
        <v>4.9</v>
      </c>
      <c r="E530" s="415">
        <v>4.6</v>
      </c>
      <c r="F530" s="415">
        <v>4.4</v>
      </c>
      <c r="G530" s="415">
        <v>4.1</v>
      </c>
      <c r="H530" s="415">
        <v>3.9</v>
      </c>
      <c r="I530" s="415">
        <v>3.6</v>
      </c>
      <c r="J530" s="415">
        <v>3.4</v>
      </c>
      <c r="K530" s="415">
        <v>3.2</v>
      </c>
    </row>
    <row r="531" ht="12.75" customHeight="1" spans="1:11" x14ac:dyDescent="0.25">
      <c r="A531" s="220">
        <v>114</v>
      </c>
      <c r="B531" s="415">
        <v>5.6</v>
      </c>
      <c r="C531" s="415">
        <v>5.2</v>
      </c>
      <c r="D531" s="415">
        <v>4.9</v>
      </c>
      <c r="E531" s="415">
        <v>4.6</v>
      </c>
      <c r="F531" s="415">
        <v>4.3</v>
      </c>
      <c r="G531" s="415">
        <v>4.1</v>
      </c>
      <c r="H531" s="415">
        <v>3.9</v>
      </c>
      <c r="I531" s="415">
        <v>3.6</v>
      </c>
      <c r="J531" s="415">
        <v>3.4</v>
      </c>
      <c r="K531" s="415">
        <v>3.2</v>
      </c>
    </row>
    <row r="532" ht="13.5" customHeight="1" spans="1:11" x14ac:dyDescent="0.25">
      <c r="A532" s="220" t="s">
        <v>698</v>
      </c>
      <c r="B532" s="415">
        <v>5.5</v>
      </c>
      <c r="C532" s="415">
        <v>5.2</v>
      </c>
      <c r="D532" s="415">
        <v>4.9</v>
      </c>
      <c r="E532" s="415">
        <v>4.6</v>
      </c>
      <c r="F532" s="415">
        <v>4.3</v>
      </c>
      <c r="G532" s="415">
        <v>4.1</v>
      </c>
      <c r="H532" s="415">
        <v>3.8</v>
      </c>
      <c r="I532" s="415">
        <v>3.6</v>
      </c>
      <c r="J532" s="415">
        <v>3.4</v>
      </c>
      <c r="K532" s="415">
        <v>3.1</v>
      </c>
    </row>
    <row r="534" ht="13.5" customHeight="1" spans="1:11" x14ac:dyDescent="0.25">
      <c r="A534" s="220" t="s">
        <v>697</v>
      </c>
      <c r="B534" s="207">
        <v>100</v>
      </c>
      <c r="C534" s="207">
        <v>101</v>
      </c>
      <c r="D534" s="207">
        <v>102</v>
      </c>
      <c r="E534" s="207">
        <v>103</v>
      </c>
      <c r="F534" s="207">
        <v>104</v>
      </c>
      <c r="G534" s="207">
        <v>105</v>
      </c>
      <c r="H534" s="207">
        <v>106</v>
      </c>
      <c r="I534" s="207">
        <v>107</v>
      </c>
      <c r="J534" s="207">
        <v>108</v>
      </c>
      <c r="K534" s="207">
        <v>109</v>
      </c>
    </row>
    <row r="535" ht="12.75" customHeight="1" spans="1:11" x14ac:dyDescent="0.25">
      <c r="A535" s="220">
        <v>100</v>
      </c>
      <c r="B535" s="415">
        <v>4.2</v>
      </c>
      <c r="C535" s="415">
        <v>4.1</v>
      </c>
      <c r="D535" s="415">
        <v>3.9</v>
      </c>
      <c r="E535" s="415">
        <v>3.8</v>
      </c>
      <c r="F535" s="415">
        <v>3.7</v>
      </c>
      <c r="G535" s="415">
        <v>3.5</v>
      </c>
      <c r="H535" s="415">
        <v>3.4</v>
      </c>
      <c r="I535" s="415">
        <v>3.3</v>
      </c>
      <c r="J535" s="415">
        <v>3.3</v>
      </c>
      <c r="K535" s="415">
        <v>3.2</v>
      </c>
    </row>
    <row r="536" ht="12.75" customHeight="1" spans="1:11" x14ac:dyDescent="0.25">
      <c r="A536" s="220">
        <v>101</v>
      </c>
      <c r="B536" s="415">
        <v>4.1</v>
      </c>
      <c r="C536" s="415">
        <v>3.9</v>
      </c>
      <c r="D536" s="415">
        <v>3.7</v>
      </c>
      <c r="E536" s="415">
        <v>3.6</v>
      </c>
      <c r="F536" s="415">
        <v>3.5</v>
      </c>
      <c r="G536" s="415">
        <v>3.4</v>
      </c>
      <c r="H536" s="415">
        <v>3.2</v>
      </c>
      <c r="I536" s="415">
        <v>3.1</v>
      </c>
      <c r="J536" s="415">
        <v>3.1</v>
      </c>
      <c r="K536" s="415">
        <v>3</v>
      </c>
    </row>
    <row r="537" ht="12.75" customHeight="1" spans="1:11" x14ac:dyDescent="0.25">
      <c r="A537" s="220">
        <v>102</v>
      </c>
      <c r="B537" s="415">
        <v>3.9</v>
      </c>
      <c r="C537" s="415">
        <v>3.7</v>
      </c>
      <c r="D537" s="415">
        <v>3.6</v>
      </c>
      <c r="E537" s="415">
        <v>3.4</v>
      </c>
      <c r="F537" s="415">
        <v>3.3</v>
      </c>
      <c r="G537" s="415">
        <v>3.2</v>
      </c>
      <c r="H537" s="415">
        <v>3.1</v>
      </c>
      <c r="I537" s="415">
        <v>3</v>
      </c>
      <c r="J537" s="415">
        <v>2.9</v>
      </c>
      <c r="K537" s="415">
        <v>2.8</v>
      </c>
    </row>
    <row r="538" ht="12.75" customHeight="1" spans="1:11" x14ac:dyDescent="0.25">
      <c r="A538" s="220">
        <v>103</v>
      </c>
      <c r="B538" s="415">
        <v>3.8</v>
      </c>
      <c r="C538" s="415">
        <v>3.6</v>
      </c>
      <c r="D538" s="415">
        <v>3.4</v>
      </c>
      <c r="E538" s="415">
        <v>3.3</v>
      </c>
      <c r="F538" s="415">
        <v>3.2</v>
      </c>
      <c r="G538" s="415">
        <v>3</v>
      </c>
      <c r="H538" s="415">
        <v>2.9</v>
      </c>
      <c r="I538" s="415">
        <v>2.8</v>
      </c>
      <c r="J538" s="415">
        <v>2.7</v>
      </c>
      <c r="K538" s="415">
        <v>2.6</v>
      </c>
    </row>
    <row r="539" ht="12.75" customHeight="1" spans="1:11" x14ac:dyDescent="0.25">
      <c r="A539" s="220">
        <v>104</v>
      </c>
      <c r="B539" s="415">
        <v>3.7</v>
      </c>
      <c r="C539" s="415">
        <v>3.5</v>
      </c>
      <c r="D539" s="415">
        <v>3.3</v>
      </c>
      <c r="E539" s="415">
        <v>3.2</v>
      </c>
      <c r="F539" s="415">
        <v>3</v>
      </c>
      <c r="G539" s="415">
        <v>2.9</v>
      </c>
      <c r="H539" s="415">
        <v>2.7</v>
      </c>
      <c r="I539" s="415">
        <v>2.6</v>
      </c>
      <c r="J539" s="415">
        <v>2.5</v>
      </c>
      <c r="K539" s="415">
        <v>2.4</v>
      </c>
    </row>
    <row r="540" ht="12.75" customHeight="1" spans="1:11" x14ac:dyDescent="0.25">
      <c r="A540" s="220">
        <v>105</v>
      </c>
      <c r="B540" s="415">
        <v>3.5</v>
      </c>
      <c r="C540" s="415">
        <v>3.4</v>
      </c>
      <c r="D540" s="415">
        <v>3.2</v>
      </c>
      <c r="E540" s="415">
        <v>3</v>
      </c>
      <c r="F540" s="415">
        <v>2.9</v>
      </c>
      <c r="G540" s="415">
        <v>2.7</v>
      </c>
      <c r="H540" s="415">
        <v>2.6</v>
      </c>
      <c r="I540" s="415">
        <v>2.5</v>
      </c>
      <c r="J540" s="415">
        <v>2.4</v>
      </c>
      <c r="K540" s="415">
        <v>2.3</v>
      </c>
    </row>
    <row r="541" ht="12.75" customHeight="1" spans="1:11" x14ac:dyDescent="0.25">
      <c r="A541" s="220">
        <v>106</v>
      </c>
      <c r="B541" s="415">
        <v>3.4</v>
      </c>
      <c r="C541" s="415">
        <v>3.2</v>
      </c>
      <c r="D541" s="415">
        <v>3.1</v>
      </c>
      <c r="E541" s="415">
        <v>2.9</v>
      </c>
      <c r="F541" s="415">
        <v>2.7</v>
      </c>
      <c r="G541" s="415">
        <v>2.6</v>
      </c>
      <c r="H541" s="415">
        <v>2.4</v>
      </c>
      <c r="I541" s="415">
        <v>2.3</v>
      </c>
      <c r="J541" s="415">
        <v>2.2</v>
      </c>
      <c r="K541" s="415">
        <v>2.1</v>
      </c>
    </row>
    <row r="542" ht="12.75" customHeight="1" spans="1:11" x14ac:dyDescent="0.25">
      <c r="A542" s="220">
        <v>107</v>
      </c>
      <c r="B542" s="415">
        <v>3.3</v>
      </c>
      <c r="C542" s="415">
        <v>3.1</v>
      </c>
      <c r="D542" s="415">
        <v>3</v>
      </c>
      <c r="E542" s="415">
        <v>2.8</v>
      </c>
      <c r="F542" s="415">
        <v>2.6</v>
      </c>
      <c r="G542" s="415">
        <v>2.5</v>
      </c>
      <c r="H542" s="415">
        <v>2.3</v>
      </c>
      <c r="I542" s="415">
        <v>2.2</v>
      </c>
      <c r="J542" s="415">
        <v>2.1</v>
      </c>
      <c r="K542" s="415">
        <v>2</v>
      </c>
    </row>
    <row r="543" ht="12.75" customHeight="1" spans="1:11" x14ac:dyDescent="0.25">
      <c r="A543" s="220">
        <v>108</v>
      </c>
      <c r="B543" s="415">
        <v>3.3</v>
      </c>
      <c r="C543" s="415">
        <v>3.1</v>
      </c>
      <c r="D543" s="415">
        <v>2.9</v>
      </c>
      <c r="E543" s="415">
        <v>2.7</v>
      </c>
      <c r="F543" s="415">
        <v>2.5</v>
      </c>
      <c r="G543" s="415">
        <v>2.4</v>
      </c>
      <c r="H543" s="415">
        <v>2.2</v>
      </c>
      <c r="I543" s="415">
        <v>2.1</v>
      </c>
      <c r="J543" s="415">
        <v>1.9</v>
      </c>
      <c r="K543" s="415">
        <v>1.8</v>
      </c>
    </row>
    <row r="544" ht="12.75" customHeight="1" spans="1:11" x14ac:dyDescent="0.25">
      <c r="A544" s="220">
        <v>109</v>
      </c>
      <c r="B544" s="415">
        <v>3.2</v>
      </c>
      <c r="C544" s="415">
        <v>3</v>
      </c>
      <c r="D544" s="415">
        <v>2.8</v>
      </c>
      <c r="E544" s="415">
        <v>2.6</v>
      </c>
      <c r="F544" s="415">
        <v>2.4</v>
      </c>
      <c r="G544" s="415">
        <v>2.3</v>
      </c>
      <c r="H544" s="415">
        <v>2.1</v>
      </c>
      <c r="I544" s="415">
        <v>2</v>
      </c>
      <c r="J544" s="415">
        <v>1.8</v>
      </c>
      <c r="K544" s="415">
        <v>1.7</v>
      </c>
    </row>
    <row r="545" ht="12.75" customHeight="1" spans="1:11" x14ac:dyDescent="0.25">
      <c r="A545" s="220">
        <v>110</v>
      </c>
      <c r="B545" s="415">
        <v>3.1</v>
      </c>
      <c r="C545" s="415">
        <v>2.9</v>
      </c>
      <c r="D545" s="415">
        <v>2.7</v>
      </c>
      <c r="E545" s="415">
        <v>2.5</v>
      </c>
      <c r="F545" s="415">
        <v>2.3</v>
      </c>
      <c r="G545" s="415">
        <v>2.2</v>
      </c>
      <c r="H545" s="415">
        <v>2</v>
      </c>
      <c r="I545" s="415">
        <v>1.9</v>
      </c>
      <c r="J545" s="415">
        <v>1.7</v>
      </c>
      <c r="K545" s="415">
        <v>1.6</v>
      </c>
    </row>
    <row r="546" ht="12.75" customHeight="1" spans="1:11" x14ac:dyDescent="0.25">
      <c r="A546" s="220">
        <v>111</v>
      </c>
      <c r="B546" s="415">
        <v>3.1</v>
      </c>
      <c r="C546" s="415">
        <v>2.9</v>
      </c>
      <c r="D546" s="415">
        <v>2.7</v>
      </c>
      <c r="E546" s="415">
        <v>2.5</v>
      </c>
      <c r="F546" s="415">
        <v>2.3</v>
      </c>
      <c r="G546" s="415">
        <v>2.1</v>
      </c>
      <c r="H546" s="415">
        <v>1.9</v>
      </c>
      <c r="I546" s="415">
        <v>1.8</v>
      </c>
      <c r="J546" s="415">
        <v>1.6</v>
      </c>
      <c r="K546" s="415">
        <v>1.5</v>
      </c>
    </row>
    <row r="547" ht="12.75" customHeight="1" spans="1:11" x14ac:dyDescent="0.25">
      <c r="A547" s="220">
        <v>112</v>
      </c>
      <c r="B547" s="415">
        <v>3</v>
      </c>
      <c r="C547" s="415">
        <v>2.8</v>
      </c>
      <c r="D547" s="415">
        <v>2.6</v>
      </c>
      <c r="E547" s="415">
        <v>2.4</v>
      </c>
      <c r="F547" s="415">
        <v>2.2</v>
      </c>
      <c r="G547" s="415">
        <v>2</v>
      </c>
      <c r="H547" s="415">
        <v>1.9</v>
      </c>
      <c r="I547" s="415">
        <v>1.7</v>
      </c>
      <c r="J547" s="415">
        <v>1.5</v>
      </c>
      <c r="K547" s="415">
        <v>1.4</v>
      </c>
    </row>
    <row r="548" ht="12.75" customHeight="1" spans="1:11" x14ac:dyDescent="0.25">
      <c r="A548" s="220">
        <v>113</v>
      </c>
      <c r="B548" s="415">
        <v>3</v>
      </c>
      <c r="C548" s="415">
        <v>2.8</v>
      </c>
      <c r="D548" s="415">
        <v>2.6</v>
      </c>
      <c r="E548" s="415">
        <v>2.4</v>
      </c>
      <c r="F548" s="415">
        <v>2.2</v>
      </c>
      <c r="G548" s="415">
        <v>2</v>
      </c>
      <c r="H548" s="415">
        <v>1.8</v>
      </c>
      <c r="I548" s="415">
        <v>1.6</v>
      </c>
      <c r="J548" s="415">
        <v>1.5</v>
      </c>
      <c r="K548" s="415">
        <v>1.3</v>
      </c>
    </row>
    <row r="549" ht="12.75" customHeight="1" spans="1:11" x14ac:dyDescent="0.25">
      <c r="A549" s="220">
        <v>114</v>
      </c>
      <c r="B549" s="415">
        <v>3</v>
      </c>
      <c r="C549" s="415">
        <v>2.7</v>
      </c>
      <c r="D549" s="415">
        <v>2.5</v>
      </c>
      <c r="E549" s="415">
        <v>2.3</v>
      </c>
      <c r="F549" s="415">
        <v>2.1</v>
      </c>
      <c r="G549" s="415">
        <v>1.9</v>
      </c>
      <c r="H549" s="415">
        <v>1.8</v>
      </c>
      <c r="I549" s="415">
        <v>1.6</v>
      </c>
      <c r="J549" s="415">
        <v>1.4</v>
      </c>
      <c r="K549" s="415">
        <v>1.3</v>
      </c>
    </row>
    <row r="550" ht="13.5" customHeight="1" spans="1:11" x14ac:dyDescent="0.25">
      <c r="A550" s="220" t="s">
        <v>698</v>
      </c>
      <c r="B550" s="415">
        <v>2.9</v>
      </c>
      <c r="C550" s="415">
        <v>2.7</v>
      </c>
      <c r="D550" s="415">
        <v>2.5</v>
      </c>
      <c r="E550" s="415">
        <v>2.3</v>
      </c>
      <c r="F550" s="415">
        <v>2.1</v>
      </c>
      <c r="G550" s="415">
        <v>1.9</v>
      </c>
      <c r="H550" s="415">
        <v>1.7</v>
      </c>
      <c r="I550" s="415">
        <v>1.5</v>
      </c>
      <c r="J550" s="415">
        <v>1.4</v>
      </c>
      <c r="K550" s="415">
        <v>1.2</v>
      </c>
    </row>
    <row r="551" ht="12.75" customHeight="1" spans="1:1" x14ac:dyDescent="0.25">
      <c r="A551" s="20"/>
    </row>
    <row r="552" ht="13.5" customHeight="1" spans="1:11" x14ac:dyDescent="0.25">
      <c r="A552" s="220" t="s">
        <v>697</v>
      </c>
      <c r="B552" s="220">
        <v>110</v>
      </c>
      <c r="C552" s="220">
        <v>111</v>
      </c>
      <c r="D552" s="220">
        <v>112</v>
      </c>
      <c r="E552" s="220">
        <v>113</v>
      </c>
      <c r="F552" s="220">
        <v>114</v>
      </c>
      <c r="G552" s="220" t="s">
        <v>698</v>
      </c>
      <c r="H552" s="419"/>
      <c r="I552" s="420"/>
      <c r="J552" s="420"/>
      <c r="K552" s="420"/>
    </row>
    <row r="553" ht="12.75" customHeight="1" spans="1:11" x14ac:dyDescent="0.25">
      <c r="A553" s="220">
        <v>110</v>
      </c>
      <c r="B553" s="415">
        <v>1.5</v>
      </c>
      <c r="C553" s="415">
        <v>1.4</v>
      </c>
      <c r="D553" s="415">
        <v>1.3</v>
      </c>
      <c r="E553" s="415">
        <v>1.2</v>
      </c>
      <c r="F553" s="415">
        <v>1.1</v>
      </c>
      <c r="G553" s="415">
        <v>1.1</v>
      </c>
      <c r="H553" s="413"/>
      <c r="I553" s="413"/>
      <c r="J553" s="413"/>
      <c r="K553" s="413"/>
    </row>
    <row r="554" ht="12.75" customHeight="1" spans="1:11" x14ac:dyDescent="0.25">
      <c r="A554" s="220">
        <v>111</v>
      </c>
      <c r="B554" s="415">
        <v>1.4</v>
      </c>
      <c r="C554" s="415">
        <v>1.2</v>
      </c>
      <c r="D554" s="415">
        <v>1.1</v>
      </c>
      <c r="E554" s="415">
        <v>1.1</v>
      </c>
      <c r="F554" s="415">
        <v>1</v>
      </c>
      <c r="G554" s="415">
        <v>1</v>
      </c>
      <c r="H554" s="413"/>
      <c r="I554" s="413"/>
      <c r="J554" s="413"/>
      <c r="K554" s="413"/>
    </row>
    <row r="555" ht="12.75" customHeight="1" spans="1:11" x14ac:dyDescent="0.25">
      <c r="A555" s="220">
        <v>112</v>
      </c>
      <c r="B555" s="415">
        <v>1.3</v>
      </c>
      <c r="C555" s="415">
        <v>1.1</v>
      </c>
      <c r="D555" s="415">
        <v>1</v>
      </c>
      <c r="E555" s="415">
        <v>1</v>
      </c>
      <c r="F555" s="415">
        <v>1</v>
      </c>
      <c r="G555" s="415">
        <v>1</v>
      </c>
      <c r="H555" s="413"/>
      <c r="I555" s="413"/>
      <c r="J555" s="413"/>
      <c r="K555" s="413"/>
    </row>
    <row r="556" ht="12.75" customHeight="1" spans="1:11" x14ac:dyDescent="0.25">
      <c r="A556" s="220">
        <v>113</v>
      </c>
      <c r="B556" s="415">
        <v>1.2</v>
      </c>
      <c r="C556" s="415">
        <v>1.1</v>
      </c>
      <c r="D556" s="415">
        <v>1</v>
      </c>
      <c r="E556" s="415">
        <v>1</v>
      </c>
      <c r="F556" s="415">
        <v>1</v>
      </c>
      <c r="G556" s="415">
        <v>1</v>
      </c>
      <c r="H556" s="413"/>
      <c r="I556" s="413"/>
      <c r="J556" s="413"/>
      <c r="K556" s="413"/>
    </row>
    <row r="557" ht="12.75" customHeight="1" spans="1:11" x14ac:dyDescent="0.25">
      <c r="A557" s="220">
        <v>114</v>
      </c>
      <c r="B557" s="415">
        <v>1.1</v>
      </c>
      <c r="C557" s="415">
        <v>1</v>
      </c>
      <c r="D557" s="415">
        <v>1</v>
      </c>
      <c r="E557" s="415">
        <v>1</v>
      </c>
      <c r="F557" s="415">
        <v>1</v>
      </c>
      <c r="G557" s="415">
        <v>1</v>
      </c>
      <c r="H557" s="413"/>
      <c r="I557" s="413"/>
      <c r="J557" s="413"/>
      <c r="K557" s="413"/>
    </row>
    <row r="558" ht="13.5" customHeight="1" spans="1:11" x14ac:dyDescent="0.25">
      <c r="A558" s="220" t="s">
        <v>698</v>
      </c>
      <c r="B558" s="415">
        <v>1.1</v>
      </c>
      <c r="C558" s="415">
        <v>1</v>
      </c>
      <c r="D558" s="415">
        <v>1</v>
      </c>
      <c r="E558" s="415">
        <v>1</v>
      </c>
      <c r="F558" s="415">
        <v>1</v>
      </c>
      <c r="G558" s="415">
        <v>1</v>
      </c>
      <c r="H558" s="413"/>
      <c r="I558" s="413"/>
      <c r="J558" s="413"/>
      <c r="K558" s="413"/>
    </row>
    <row r="561" ht="13.5" customHeight="1" spans="1:2" x14ac:dyDescent="0.25">
      <c r="A561" s="22" t="s">
        <v>699</v>
      </c>
      <c r="B561" s="15"/>
    </row>
    <row r="562" ht="12.75" customHeight="1" spans="1:2" x14ac:dyDescent="0.25">
      <c r="A562" s="414" t="s">
        <v>700</v>
      </c>
      <c r="B562" s="15"/>
    </row>
    <row r="563" ht="27.75" customHeight="1" spans="1:9" x14ac:dyDescent="0.25">
      <c r="A563" s="20" t="s">
        <v>691</v>
      </c>
      <c r="B563" s="55" t="s">
        <v>423</v>
      </c>
      <c r="C563" s="55" t="s">
        <v>701</v>
      </c>
      <c r="D563" s="55" t="s">
        <v>423</v>
      </c>
      <c r="E563" s="55" t="s">
        <v>701</v>
      </c>
      <c r="F563" s="55" t="s">
        <v>423</v>
      </c>
      <c r="G563" s="55" t="s">
        <v>701</v>
      </c>
      <c r="H563" s="55" t="s">
        <v>423</v>
      </c>
      <c r="I563" s="55" t="s">
        <v>701</v>
      </c>
    </row>
    <row r="564" ht="12.75" customHeight="1" spans="1:9" x14ac:dyDescent="0.25">
      <c r="A564" s="55"/>
      <c r="B564">
        <v>0</v>
      </c>
      <c r="C564" s="421">
        <v>82.4</v>
      </c>
      <c r="D564" s="15">
        <v>30</v>
      </c>
      <c r="E564" s="415">
        <v>53.3</v>
      </c>
      <c r="F564" s="15">
        <v>60</v>
      </c>
      <c r="G564" s="421">
        <v>25.2</v>
      </c>
      <c r="H564">
        <v>90</v>
      </c>
      <c r="I564" s="412">
        <v>5.5</v>
      </c>
    </row>
    <row r="565" ht="12.75" customHeight="1" spans="2:9" x14ac:dyDescent="0.25">
      <c r="B565">
        <f>B564+1</f>
        <v>1</v>
      </c>
      <c r="C565" s="421">
        <v>81.6</v>
      </c>
      <c r="D565">
        <f>D564+1</f>
        <v>31</v>
      </c>
      <c r="E565" s="415">
        <v>52.4</v>
      </c>
      <c r="F565">
        <f>F564+1</f>
        <v>61</v>
      </c>
      <c r="G565" s="421">
        <v>24.4</v>
      </c>
      <c r="H565">
        <f>H564+1</f>
        <v>91</v>
      </c>
      <c r="I565" s="412">
        <v>5.2</v>
      </c>
    </row>
    <row r="566" ht="12.75" customHeight="1" spans="1:9" x14ac:dyDescent="0.25">
      <c r="A566" s="55"/>
      <c r="B566">
        <f>B565+1</f>
        <v>2</v>
      </c>
      <c r="C566" s="421">
        <v>80.6</v>
      </c>
      <c r="D566">
        <f>D565+1</f>
        <v>32</v>
      </c>
      <c r="E566" s="415">
        <v>51.4</v>
      </c>
      <c r="F566">
        <f>F565+1</f>
        <v>62</v>
      </c>
      <c r="G566" s="421">
        <v>23.5</v>
      </c>
      <c r="H566">
        <f>H565+1</f>
        <v>92</v>
      </c>
      <c r="I566" s="412">
        <v>4.9</v>
      </c>
    </row>
    <row r="567" ht="12.75" customHeight="1" spans="2:9" x14ac:dyDescent="0.25">
      <c r="B567">
        <f>B566+1</f>
        <v>3</v>
      </c>
      <c r="C567" s="421">
        <v>79.7</v>
      </c>
      <c r="D567">
        <f>D566+1</f>
        <v>33</v>
      </c>
      <c r="E567" s="415">
        <v>50.4</v>
      </c>
      <c r="F567">
        <f>F566+1</f>
        <v>63</v>
      </c>
      <c r="G567" s="421">
        <v>22.7</v>
      </c>
      <c r="H567">
        <f>H566+1</f>
        <v>93</v>
      </c>
      <c r="I567" s="412">
        <v>4.6</v>
      </c>
    </row>
    <row r="568" ht="12.75" customHeight="1" spans="2:9" x14ac:dyDescent="0.25">
      <c r="B568">
        <f>B567+1</f>
        <v>4</v>
      </c>
      <c r="C568" s="421">
        <v>78.7</v>
      </c>
      <c r="D568">
        <f>D567+1</f>
        <v>34</v>
      </c>
      <c r="E568" s="415">
        <v>49.4</v>
      </c>
      <c r="F568">
        <f>F567+1</f>
        <v>64</v>
      </c>
      <c r="G568" s="421">
        <v>21.8</v>
      </c>
      <c r="H568">
        <f>H567+1</f>
        <v>94</v>
      </c>
      <c r="I568" s="412">
        <v>4.3</v>
      </c>
    </row>
    <row r="569" ht="12.75" customHeight="1" spans="2:9" x14ac:dyDescent="0.25">
      <c r="B569">
        <f>B568+1</f>
        <v>5</v>
      </c>
      <c r="C569" s="421">
        <v>77.7</v>
      </c>
      <c r="D569">
        <f>D568+1</f>
        <v>35</v>
      </c>
      <c r="E569" s="415">
        <v>48.5</v>
      </c>
      <c r="F569">
        <f>F568+1</f>
        <v>65</v>
      </c>
      <c r="G569" s="421">
        <v>21</v>
      </c>
      <c r="H569">
        <f>H568+1</f>
        <v>95</v>
      </c>
      <c r="I569" s="412">
        <v>4.1</v>
      </c>
    </row>
    <row r="570" ht="12.75" customHeight="1" spans="2:9" x14ac:dyDescent="0.25">
      <c r="B570">
        <f>B569+1</f>
        <v>6</v>
      </c>
      <c r="C570" s="421">
        <v>76.7</v>
      </c>
      <c r="D570">
        <f>D569+1</f>
        <v>36</v>
      </c>
      <c r="E570" s="415">
        <v>47.5</v>
      </c>
      <c r="F570">
        <f>F569+1</f>
        <v>66</v>
      </c>
      <c r="G570" s="421">
        <v>20.2</v>
      </c>
      <c r="H570">
        <f>H569+1</f>
        <v>96</v>
      </c>
      <c r="I570" s="412">
        <v>3.8</v>
      </c>
    </row>
    <row r="571" ht="12.75" customHeight="1" spans="2:9" x14ac:dyDescent="0.25">
      <c r="B571">
        <f>B570+1</f>
        <v>7</v>
      </c>
      <c r="C571" s="421">
        <v>75.8</v>
      </c>
      <c r="D571">
        <f>D570+1</f>
        <v>37</v>
      </c>
      <c r="E571" s="415">
        <v>46.5</v>
      </c>
      <c r="F571">
        <f>F570+1</f>
        <v>67</v>
      </c>
      <c r="G571" s="421">
        <v>19.4</v>
      </c>
      <c r="H571">
        <f>H570+1</f>
        <v>97</v>
      </c>
      <c r="I571" s="412">
        <v>3.6</v>
      </c>
    </row>
    <row r="572" ht="12.75" customHeight="1" spans="2:9" x14ac:dyDescent="0.25">
      <c r="B572">
        <f>B571+1</f>
        <v>8</v>
      </c>
      <c r="C572" s="421">
        <v>74.8</v>
      </c>
      <c r="D572">
        <f>D571+1</f>
        <v>38</v>
      </c>
      <c r="E572" s="415">
        <v>45.6</v>
      </c>
      <c r="F572">
        <f>F571+1</f>
        <v>68</v>
      </c>
      <c r="G572" s="421">
        <v>18.6</v>
      </c>
      <c r="H572">
        <f>H571+1</f>
        <v>98</v>
      </c>
      <c r="I572" s="412">
        <v>3.4</v>
      </c>
    </row>
    <row r="573" ht="12.75" customHeight="1" spans="2:9" x14ac:dyDescent="0.25">
      <c r="B573">
        <f>B572+1</f>
        <v>9</v>
      </c>
      <c r="C573" s="421">
        <v>73.8</v>
      </c>
      <c r="D573">
        <f>D572+1</f>
        <v>39</v>
      </c>
      <c r="E573" s="415">
        <v>44.6</v>
      </c>
      <c r="F573">
        <f>F572+1</f>
        <v>69</v>
      </c>
      <c r="G573" s="421">
        <v>17.8</v>
      </c>
      <c r="H573">
        <f>H572+1</f>
        <v>99</v>
      </c>
      <c r="I573" s="412">
        <v>3.1</v>
      </c>
    </row>
    <row r="574" ht="12.75" customHeight="1" spans="2:9" x14ac:dyDescent="0.25">
      <c r="B574">
        <f>B573+1</f>
        <v>10</v>
      </c>
      <c r="C574" s="421">
        <v>72.8</v>
      </c>
      <c r="D574">
        <f>D573+1</f>
        <v>40</v>
      </c>
      <c r="E574" s="415">
        <v>43.6</v>
      </c>
      <c r="F574">
        <f>F573+1</f>
        <v>70</v>
      </c>
      <c r="G574" s="421">
        <v>17</v>
      </c>
      <c r="H574">
        <f>H573+1</f>
        <v>100</v>
      </c>
      <c r="I574" s="412">
        <v>2.9</v>
      </c>
    </row>
    <row r="575" ht="12.75" customHeight="1" spans="2:9" x14ac:dyDescent="0.25">
      <c r="B575">
        <f>B574+1</f>
        <v>11</v>
      </c>
      <c r="C575" s="421">
        <v>71.8</v>
      </c>
      <c r="D575">
        <f>D574+1</f>
        <v>41</v>
      </c>
      <c r="E575" s="415">
        <v>42.7</v>
      </c>
      <c r="F575">
        <f>F574+1</f>
        <v>71</v>
      </c>
      <c r="G575" s="421">
        <v>16.3</v>
      </c>
      <c r="H575">
        <f>H574+1</f>
        <v>101</v>
      </c>
      <c r="I575" s="412">
        <v>2.7</v>
      </c>
    </row>
    <row r="576" ht="12.75" customHeight="1" spans="2:9" x14ac:dyDescent="0.25">
      <c r="B576">
        <f>B575+1</f>
        <v>12</v>
      </c>
      <c r="C576" s="421">
        <v>70.8</v>
      </c>
      <c r="D576">
        <f>D575+1</f>
        <v>42</v>
      </c>
      <c r="E576" s="415">
        <v>41.7</v>
      </c>
      <c r="F576">
        <f>F575+1</f>
        <v>72</v>
      </c>
      <c r="G576" s="421">
        <v>15.5</v>
      </c>
      <c r="H576">
        <f>H575+1</f>
        <v>102</v>
      </c>
      <c r="I576" s="412">
        <v>2.5</v>
      </c>
    </row>
    <row r="577" ht="12.75" customHeight="1" spans="2:9" x14ac:dyDescent="0.25">
      <c r="B577">
        <f>B576+1</f>
        <v>13</v>
      </c>
      <c r="C577" s="421">
        <v>69.9</v>
      </c>
      <c r="D577">
        <f>D576+1</f>
        <v>43</v>
      </c>
      <c r="E577" s="415">
        <v>40.7</v>
      </c>
      <c r="F577">
        <f>F576+1</f>
        <v>73</v>
      </c>
      <c r="G577" s="421">
        <v>14.8</v>
      </c>
      <c r="H577">
        <f>H576+1</f>
        <v>103</v>
      </c>
      <c r="I577" s="412">
        <v>2.3</v>
      </c>
    </row>
    <row r="578" ht="12.75" customHeight="1" spans="2:9" x14ac:dyDescent="0.25">
      <c r="B578">
        <f>B577+1</f>
        <v>14</v>
      </c>
      <c r="C578" s="421">
        <v>68.9</v>
      </c>
      <c r="D578">
        <f>D577+1</f>
        <v>44</v>
      </c>
      <c r="E578" s="415">
        <v>39.8</v>
      </c>
      <c r="F578">
        <f>F577+1</f>
        <v>74</v>
      </c>
      <c r="G578" s="421">
        <v>14.1</v>
      </c>
      <c r="H578">
        <f>H577+1</f>
        <v>104</v>
      </c>
      <c r="I578" s="412">
        <v>2.1</v>
      </c>
    </row>
    <row r="579" ht="12.75" customHeight="1" spans="2:9" x14ac:dyDescent="0.25">
      <c r="B579">
        <f>B578+1</f>
        <v>15</v>
      </c>
      <c r="C579" s="421">
        <v>67.9</v>
      </c>
      <c r="D579">
        <f>D578+1</f>
        <v>45</v>
      </c>
      <c r="E579" s="415">
        <v>38.8</v>
      </c>
      <c r="F579">
        <f>F578+1</f>
        <v>75</v>
      </c>
      <c r="G579" s="421">
        <v>13.4</v>
      </c>
      <c r="H579">
        <f>H578+1</f>
        <v>105</v>
      </c>
      <c r="I579" s="412">
        <v>1.9</v>
      </c>
    </row>
    <row r="580" ht="12.75" customHeight="1" spans="2:9" x14ac:dyDescent="0.25">
      <c r="B580">
        <f>B579+1</f>
        <v>16</v>
      </c>
      <c r="C580" s="421">
        <v>66.9</v>
      </c>
      <c r="D580">
        <f>D579+1</f>
        <v>46</v>
      </c>
      <c r="E580" s="415">
        <v>37.9</v>
      </c>
      <c r="F580">
        <f>F579+1</f>
        <v>76</v>
      </c>
      <c r="G580" s="421">
        <v>12.7</v>
      </c>
      <c r="H580">
        <f>H579+1</f>
        <v>106</v>
      </c>
      <c r="I580" s="412">
        <v>1.7</v>
      </c>
    </row>
    <row r="581" ht="12.75" customHeight="1" spans="2:9" x14ac:dyDescent="0.25">
      <c r="B581">
        <f>B580+1</f>
        <v>17</v>
      </c>
      <c r="C581" s="421">
        <v>66</v>
      </c>
      <c r="D581">
        <f>D580+1</f>
        <v>47</v>
      </c>
      <c r="E581" s="415">
        <v>37</v>
      </c>
      <c r="F581">
        <f>F580+1</f>
        <v>77</v>
      </c>
      <c r="G581" s="421">
        <v>12.1</v>
      </c>
      <c r="H581">
        <f>H580+1</f>
        <v>107</v>
      </c>
      <c r="I581" s="412">
        <v>1.5</v>
      </c>
    </row>
    <row r="582" ht="12.75" customHeight="1" spans="2:9" x14ac:dyDescent="0.25">
      <c r="B582">
        <f>B581+1</f>
        <v>18</v>
      </c>
      <c r="C582" s="421">
        <v>65</v>
      </c>
      <c r="D582">
        <f>D581+1</f>
        <v>48</v>
      </c>
      <c r="E582" s="415">
        <v>36</v>
      </c>
      <c r="F582">
        <f>F581+1</f>
        <v>78</v>
      </c>
      <c r="G582" s="421">
        <v>11.4</v>
      </c>
      <c r="H582">
        <f>H581+1</f>
        <v>108</v>
      </c>
      <c r="I582" s="412">
        <v>1.4</v>
      </c>
    </row>
    <row r="583" ht="12.75" customHeight="1" spans="2:9" x14ac:dyDescent="0.25">
      <c r="B583">
        <f>B582+1</f>
        <v>19</v>
      </c>
      <c r="C583" s="421">
        <v>64</v>
      </c>
      <c r="D583">
        <f>D582+1</f>
        <v>49</v>
      </c>
      <c r="E583" s="415">
        <v>35.1</v>
      </c>
      <c r="F583">
        <f>F582+1</f>
        <v>79</v>
      </c>
      <c r="G583" s="421">
        <v>10.8</v>
      </c>
      <c r="H583">
        <f>H582+1</f>
        <v>109</v>
      </c>
      <c r="I583" s="412">
        <v>1.2</v>
      </c>
    </row>
    <row r="584" ht="12.75" customHeight="1" spans="2:9" x14ac:dyDescent="0.25">
      <c r="B584">
        <f>B583+1</f>
        <v>20</v>
      </c>
      <c r="C584" s="421">
        <v>63</v>
      </c>
      <c r="D584">
        <f>D583+1</f>
        <v>50</v>
      </c>
      <c r="E584" s="415">
        <v>34.2</v>
      </c>
      <c r="F584">
        <f>F583+1</f>
        <v>80</v>
      </c>
      <c r="G584" s="421">
        <v>10.2</v>
      </c>
      <c r="H584">
        <f>H583+1</f>
        <v>110</v>
      </c>
      <c r="I584" s="412">
        <v>1.1</v>
      </c>
    </row>
    <row r="585" ht="12.75" customHeight="1" spans="2:9" x14ac:dyDescent="0.25">
      <c r="B585">
        <f>B584+1</f>
        <v>21</v>
      </c>
      <c r="C585" s="421">
        <v>62.1</v>
      </c>
      <c r="D585">
        <f>D584+1</f>
        <v>51</v>
      </c>
      <c r="E585" s="415">
        <v>33.3</v>
      </c>
      <c r="F585">
        <f>F584+1</f>
        <v>81</v>
      </c>
      <c r="G585" s="421">
        <v>9.7</v>
      </c>
      <c r="H585" s="422" t="s">
        <v>702</v>
      </c>
      <c r="I585" s="412">
        <v>1</v>
      </c>
    </row>
    <row r="586" ht="12.75" customHeight="1" spans="2:8" x14ac:dyDescent="0.25">
      <c r="B586">
        <f>B585+1</f>
        <v>22</v>
      </c>
      <c r="C586" s="421">
        <v>61.1</v>
      </c>
      <c r="D586">
        <f>D585+1</f>
        <v>52</v>
      </c>
      <c r="E586" s="415">
        <v>32.3</v>
      </c>
      <c r="F586">
        <f>F585+1</f>
        <v>82</v>
      </c>
      <c r="G586" s="421">
        <v>9.1</v>
      </c>
      <c r="H586" s="15" t="s">
        <v>703</v>
      </c>
    </row>
    <row r="587" ht="12.75" customHeight="1" spans="2:7" x14ac:dyDescent="0.25">
      <c r="B587">
        <f>B586+1</f>
        <v>23</v>
      </c>
      <c r="C587" s="421">
        <v>60.1</v>
      </c>
      <c r="D587">
        <f>D586+1</f>
        <v>53</v>
      </c>
      <c r="E587" s="415">
        <v>31.4</v>
      </c>
      <c r="F587">
        <f>F586+1</f>
        <v>83</v>
      </c>
      <c r="G587" s="421">
        <v>8.6</v>
      </c>
    </row>
    <row r="588" ht="12.75" customHeight="1" spans="2:7" x14ac:dyDescent="0.25">
      <c r="B588">
        <f>B587+1</f>
        <v>24</v>
      </c>
      <c r="C588" s="421">
        <v>59.1</v>
      </c>
      <c r="D588">
        <f>D587+1</f>
        <v>54</v>
      </c>
      <c r="E588" s="415">
        <v>30.5</v>
      </c>
      <c r="F588">
        <f>F587+1</f>
        <v>84</v>
      </c>
      <c r="G588" s="413">
        <v>8.1</v>
      </c>
    </row>
    <row r="589" ht="12.75" customHeight="1" spans="2:7" x14ac:dyDescent="0.25">
      <c r="B589">
        <f>B588+1</f>
        <v>25</v>
      </c>
      <c r="C589" s="421">
        <v>58.2</v>
      </c>
      <c r="D589">
        <f>D588+1</f>
        <v>55</v>
      </c>
      <c r="E589" s="415">
        <v>29.6</v>
      </c>
      <c r="F589">
        <f>F588+1</f>
        <v>85</v>
      </c>
      <c r="G589" s="413">
        <v>7.6</v>
      </c>
    </row>
    <row r="590" ht="12.75" customHeight="1" spans="2:7" x14ac:dyDescent="0.25">
      <c r="B590">
        <f>B589+1</f>
        <v>26</v>
      </c>
      <c r="C590" s="421">
        <v>57.2</v>
      </c>
      <c r="D590">
        <f>D589+1</f>
        <v>56</v>
      </c>
      <c r="E590" s="421">
        <v>28.7</v>
      </c>
      <c r="F590">
        <f>F589+1</f>
        <v>86</v>
      </c>
      <c r="G590" s="413">
        <v>7.1</v>
      </c>
    </row>
    <row r="591" ht="12.75" customHeight="1" spans="2:7" x14ac:dyDescent="0.25">
      <c r="B591">
        <f>B590+1</f>
        <v>27</v>
      </c>
      <c r="C591" s="421">
        <v>56.2</v>
      </c>
      <c r="D591">
        <f>D590+1</f>
        <v>57</v>
      </c>
      <c r="E591" s="421">
        <v>27.9</v>
      </c>
      <c r="F591">
        <f>F590+1</f>
        <v>87</v>
      </c>
      <c r="G591" s="413">
        <v>6.7</v>
      </c>
    </row>
    <row r="592" ht="12.75" customHeight="1" spans="2:7" x14ac:dyDescent="0.25">
      <c r="B592">
        <f>B591+1</f>
        <v>28</v>
      </c>
      <c r="C592" s="415">
        <v>55.3</v>
      </c>
      <c r="D592">
        <f>D591+1</f>
        <v>58</v>
      </c>
      <c r="E592" s="421">
        <v>27</v>
      </c>
      <c r="F592">
        <f>F591+1</f>
        <v>88</v>
      </c>
      <c r="G592" s="413">
        <v>6.3</v>
      </c>
    </row>
    <row r="593" ht="12.75" customHeight="1" spans="2:7" x14ac:dyDescent="0.25">
      <c r="B593">
        <f>B592+1</f>
        <v>29</v>
      </c>
      <c r="C593" s="415">
        <v>54.3</v>
      </c>
      <c r="D593">
        <f>D592+1</f>
        <v>59</v>
      </c>
      <c r="E593" s="421">
        <v>26.1</v>
      </c>
      <c r="F593">
        <f>F592+1</f>
        <v>89</v>
      </c>
      <c r="G593" s="413">
        <v>5.9</v>
      </c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 zoomScale="100" zoomScaleNormal="100" view="normal">
      <selection activeCell="G13" sqref="G13"/>
    </sheetView>
  </sheetViews>
  <sheetFormatPr defaultRowHeight="12.75" outlineLevelRow="0" outlineLevelCol="0" x14ac:dyDescent="0" defaultColWidth="8.83203125" customHeight="1"/>
  <cols>
    <col min="1" max="1" width="28.5" customWidth="1"/>
    <col min="2" max="2" width="6.51" customWidth="1"/>
    <col min="3" max="3" width="11.67" customWidth="1"/>
    <col min="4" max="4" width="6.67" customWidth="1"/>
    <col min="5" max="5" width="11.67" customWidth="1"/>
    <col min="6" max="6" width="6.67" customWidth="1"/>
    <col min="7" max="7" width="12.83" customWidth="1"/>
  </cols>
  <sheetData>
    <row r="1" ht="18" customHeight="1" spans="1:3" x14ac:dyDescent="0.25">
      <c r="A1" s="14" t="s">
        <v>704</v>
      </c>
      <c r="B1" s="15"/>
      <c r="C1" s="15"/>
    </row>
    <row r="2" ht="12.75" customHeight="1" spans="1:3" x14ac:dyDescent="0.25">
      <c r="A2" s="18" t="s">
        <v>705</v>
      </c>
      <c r="B2" s="15"/>
      <c r="C2" s="15"/>
    </row>
    <row r="3" ht="12.75" customHeight="1" spans="1:3" x14ac:dyDescent="0.25">
      <c r="A3" s="18"/>
      <c r="B3" s="15"/>
      <c r="C3" s="15"/>
    </row>
    <row r="4" ht="13.5" customHeight="1" spans="1:4" x14ac:dyDescent="0.25">
      <c r="A4" s="55" t="s">
        <v>706</v>
      </c>
      <c r="B4" s="18" t="s">
        <v>707</v>
      </c>
      <c r="C4" s="18" t="s">
        <v>708</v>
      </c>
      <c r="D4" s="18" t="s">
        <v>709</v>
      </c>
    </row>
    <row r="5" ht="12.75" customHeight="1" spans="1:3" x14ac:dyDescent="0.25">
      <c r="A5" s="18"/>
      <c r="B5" s="15"/>
      <c r="C5" s="15"/>
    </row>
    <row r="6" ht="13.5" customHeight="1" spans="1:3" x14ac:dyDescent="0.25">
      <c r="A6" s="55" t="s">
        <v>710</v>
      </c>
      <c r="B6" s="18" t="s">
        <v>709</v>
      </c>
      <c r="C6" s="15"/>
    </row>
    <row r="7" ht="12.75" customHeight="1" spans="1:2" x14ac:dyDescent="0.25">
      <c r="A7" s="18"/>
      <c r="B7" s="15"/>
    </row>
    <row r="8" ht="15" customHeight="1" spans="1:7" x14ac:dyDescent="0.25">
      <c r="A8" s="410" t="s">
        <v>704</v>
      </c>
      <c r="B8" s="55" t="s">
        <v>423</v>
      </c>
      <c r="C8" s="55" t="s">
        <v>711</v>
      </c>
      <c r="D8" s="55" t="s">
        <v>423</v>
      </c>
      <c r="E8" s="55" t="s">
        <v>711</v>
      </c>
      <c r="F8" s="55" t="s">
        <v>423</v>
      </c>
      <c r="G8" s="55" t="s">
        <v>711</v>
      </c>
    </row>
    <row r="9" ht="13.5" customHeight="1" spans="2:8" x14ac:dyDescent="0.25">
      <c r="B9" s="15">
        <v>0</v>
      </c>
      <c r="C9" s="310">
        <v>76.6</v>
      </c>
      <c r="D9" s="15">
        <v>39</v>
      </c>
      <c r="E9" s="310">
        <v>43.5</v>
      </c>
      <c r="F9" s="15">
        <v>78</v>
      </c>
      <c r="G9" s="310">
        <v>10.6</v>
      </c>
      <c r="H9" s="423"/>
    </row>
    <row r="10" ht="13.5" customHeight="1" spans="2:8" x14ac:dyDescent="0.25">
      <c r="B10" s="15">
        <v>1</v>
      </c>
      <c r="C10" s="310">
        <v>76.6</v>
      </c>
      <c r="D10" s="15">
        <v>40</v>
      </c>
      <c r="E10" s="310">
        <v>42.5</v>
      </c>
      <c r="F10" s="15">
        <v>79</v>
      </c>
      <c r="G10" s="310">
        <v>10</v>
      </c>
      <c r="H10" s="423"/>
    </row>
    <row r="11" ht="13.5" customHeight="1" spans="2:8" x14ac:dyDescent="0.25">
      <c r="B11" s="15">
        <v>2</v>
      </c>
      <c r="C11" s="310">
        <v>76.6</v>
      </c>
      <c r="D11" s="15">
        <v>41</v>
      </c>
      <c r="E11" s="310">
        <v>41.5</v>
      </c>
      <c r="F11" s="15">
        <v>80</v>
      </c>
      <c r="G11" s="310">
        <v>9.5</v>
      </c>
      <c r="H11" s="423"/>
    </row>
    <row r="12" ht="13.5" customHeight="1" spans="2:8" x14ac:dyDescent="0.25">
      <c r="B12" s="15">
        <v>3</v>
      </c>
      <c r="C12" s="310">
        <v>76.6</v>
      </c>
      <c r="D12" s="15">
        <v>42</v>
      </c>
      <c r="E12" s="310">
        <v>40.6</v>
      </c>
      <c r="F12" s="15">
        <v>81</v>
      </c>
      <c r="G12" s="310">
        <v>8.9</v>
      </c>
      <c r="H12" s="423"/>
    </row>
    <row r="13" ht="13.5" customHeight="1" spans="2:8" x14ac:dyDescent="0.25">
      <c r="B13" s="15">
        <v>4</v>
      </c>
      <c r="C13" s="310">
        <v>76.6</v>
      </c>
      <c r="D13" s="15">
        <v>43</v>
      </c>
      <c r="E13" s="310">
        <v>39.6</v>
      </c>
      <c r="F13" s="15">
        <v>82</v>
      </c>
      <c r="G13" s="310">
        <v>8.4</v>
      </c>
      <c r="H13" s="423"/>
    </row>
    <row r="14" ht="13.5" customHeight="1" spans="2:8" x14ac:dyDescent="0.25">
      <c r="B14" s="15">
        <v>5</v>
      </c>
      <c r="C14" s="310">
        <v>76.6</v>
      </c>
      <c r="D14" s="15">
        <v>44</v>
      </c>
      <c r="E14" s="310">
        <v>38.7</v>
      </c>
      <c r="F14" s="15">
        <v>83</v>
      </c>
      <c r="G14" s="310">
        <v>7.9</v>
      </c>
      <c r="H14" s="423"/>
    </row>
    <row r="15" ht="13.5" customHeight="1" spans="2:8" x14ac:dyDescent="0.25">
      <c r="B15" s="15">
        <v>6</v>
      </c>
      <c r="C15" s="310">
        <v>75.6</v>
      </c>
      <c r="D15" s="15">
        <v>45</v>
      </c>
      <c r="E15" s="310">
        <v>37.7</v>
      </c>
      <c r="F15" s="15">
        <v>84</v>
      </c>
      <c r="G15" s="310">
        <v>7.4</v>
      </c>
      <c r="H15" s="423"/>
    </row>
    <row r="16" ht="13.5" customHeight="1" spans="2:8" x14ac:dyDescent="0.25">
      <c r="B16" s="15">
        <v>7</v>
      </c>
      <c r="C16" s="310">
        <v>74.7</v>
      </c>
      <c r="D16" s="15">
        <v>46</v>
      </c>
      <c r="E16" s="310">
        <v>36.8</v>
      </c>
      <c r="F16" s="15">
        <v>85</v>
      </c>
      <c r="G16" s="310">
        <v>6.9</v>
      </c>
      <c r="H16" s="423"/>
    </row>
    <row r="17" ht="13.5" customHeight="1" spans="2:8" x14ac:dyDescent="0.25">
      <c r="B17" s="15">
        <v>8</v>
      </c>
      <c r="C17" s="310">
        <v>73.7</v>
      </c>
      <c r="D17" s="15">
        <v>47</v>
      </c>
      <c r="E17" s="310">
        <v>35.9</v>
      </c>
      <c r="F17" s="15">
        <v>86</v>
      </c>
      <c r="G17" s="310">
        <v>6.5</v>
      </c>
      <c r="H17" s="423"/>
    </row>
    <row r="18" ht="13.5" customHeight="1" spans="2:8" x14ac:dyDescent="0.25">
      <c r="B18" s="15">
        <v>9</v>
      </c>
      <c r="C18" s="310">
        <v>72.7</v>
      </c>
      <c r="D18" s="15">
        <v>48</v>
      </c>
      <c r="E18" s="310">
        <v>34.9</v>
      </c>
      <c r="F18" s="15">
        <v>87</v>
      </c>
      <c r="G18" s="310">
        <v>6.1</v>
      </c>
      <c r="H18" s="423"/>
    </row>
    <row r="19" ht="13.5" customHeight="1" spans="2:8" x14ac:dyDescent="0.25">
      <c r="B19" s="15">
        <v>10</v>
      </c>
      <c r="C19" s="310">
        <v>71.7</v>
      </c>
      <c r="D19" s="15">
        <v>49</v>
      </c>
      <c r="E19" s="310">
        <v>34</v>
      </c>
      <c r="F19" s="305">
        <v>88</v>
      </c>
      <c r="G19" s="310">
        <v>5.7</v>
      </c>
      <c r="H19" s="423"/>
    </row>
    <row r="20" ht="13.5" customHeight="1" spans="2:8" x14ac:dyDescent="0.25">
      <c r="B20" s="15">
        <v>11</v>
      </c>
      <c r="C20" s="310">
        <v>70.7</v>
      </c>
      <c r="D20" s="15">
        <v>50</v>
      </c>
      <c r="E20" s="310">
        <v>33.1</v>
      </c>
      <c r="F20" s="15">
        <v>89</v>
      </c>
      <c r="G20" s="310">
        <v>5.3</v>
      </c>
      <c r="H20" s="423"/>
    </row>
    <row r="21" ht="13.5" customHeight="1" spans="2:8" x14ac:dyDescent="0.25">
      <c r="B21" s="15">
        <v>12</v>
      </c>
      <c r="C21" s="310">
        <v>69.7</v>
      </c>
      <c r="D21" s="15">
        <v>51</v>
      </c>
      <c r="E21" s="310">
        <v>32.2</v>
      </c>
      <c r="F21" s="15">
        <v>90</v>
      </c>
      <c r="G21" s="310">
        <v>5</v>
      </c>
      <c r="H21" s="423"/>
    </row>
    <row r="22" ht="12.75" customHeight="1" spans="2:7" x14ac:dyDescent="0.25">
      <c r="B22" s="15">
        <v>13</v>
      </c>
      <c r="C22" s="310">
        <v>68.8</v>
      </c>
      <c r="D22" s="15">
        <v>52</v>
      </c>
      <c r="E22" s="310">
        <v>31.3</v>
      </c>
      <c r="F22" s="15">
        <v>91</v>
      </c>
      <c r="G22" s="310">
        <v>4.7</v>
      </c>
    </row>
    <row r="23" ht="12.75" customHeight="1" spans="2:7" x14ac:dyDescent="0.25">
      <c r="B23" s="15">
        <v>14</v>
      </c>
      <c r="C23" s="310">
        <v>67.8</v>
      </c>
      <c r="D23" s="15">
        <v>53</v>
      </c>
      <c r="E23" s="310">
        <v>30.4</v>
      </c>
      <c r="F23" s="15">
        <v>92</v>
      </c>
      <c r="G23" s="310">
        <v>4.4</v>
      </c>
    </row>
    <row r="24" ht="12.75" customHeight="1" spans="2:7" x14ac:dyDescent="0.25">
      <c r="B24" s="15">
        <v>15</v>
      </c>
      <c r="C24" s="310">
        <v>66.8</v>
      </c>
      <c r="D24" s="15">
        <v>54</v>
      </c>
      <c r="E24" s="310">
        <v>29.5</v>
      </c>
      <c r="F24" s="15">
        <v>93</v>
      </c>
      <c r="G24" s="310">
        <v>4.1</v>
      </c>
    </row>
    <row r="25" ht="12.75" customHeight="1" spans="2:7" x14ac:dyDescent="0.25">
      <c r="B25" s="15">
        <v>16</v>
      </c>
      <c r="C25" s="310">
        <v>65.8</v>
      </c>
      <c r="D25" s="15">
        <v>55</v>
      </c>
      <c r="E25" s="310">
        <v>28.6</v>
      </c>
      <c r="F25" s="15">
        <v>94</v>
      </c>
      <c r="G25" s="310">
        <v>3.9</v>
      </c>
    </row>
    <row r="26" ht="12.75" customHeight="1" spans="2:7" x14ac:dyDescent="0.25">
      <c r="B26" s="15">
        <v>17</v>
      </c>
      <c r="C26" s="310">
        <v>64.8</v>
      </c>
      <c r="D26" s="15">
        <v>56</v>
      </c>
      <c r="E26" s="310">
        <v>27.7</v>
      </c>
      <c r="F26" s="15">
        <v>95</v>
      </c>
      <c r="G26" s="310">
        <v>3.7</v>
      </c>
    </row>
    <row r="27" ht="12.75" customHeight="1" spans="2:7" x14ac:dyDescent="0.25">
      <c r="B27" s="15">
        <v>18</v>
      </c>
      <c r="C27" s="310">
        <v>63.9</v>
      </c>
      <c r="D27" s="15">
        <v>57</v>
      </c>
      <c r="E27" s="310">
        <v>26.8</v>
      </c>
      <c r="F27" s="15">
        <v>96</v>
      </c>
      <c r="G27" s="310">
        <v>3.4</v>
      </c>
    </row>
    <row r="28" ht="12.75" customHeight="1" spans="2:7" x14ac:dyDescent="0.25">
      <c r="B28" s="15">
        <v>19</v>
      </c>
      <c r="C28" s="310">
        <v>62.9</v>
      </c>
      <c r="D28" s="15">
        <v>58</v>
      </c>
      <c r="E28" s="310">
        <v>25.9</v>
      </c>
      <c r="F28" s="15">
        <v>97</v>
      </c>
      <c r="G28" s="310">
        <v>3.2</v>
      </c>
    </row>
    <row r="29" ht="12.75" customHeight="1" spans="2:7" x14ac:dyDescent="0.25">
      <c r="B29" s="15">
        <v>20</v>
      </c>
      <c r="C29" s="310">
        <v>61.9</v>
      </c>
      <c r="D29" s="15">
        <v>59</v>
      </c>
      <c r="E29" s="310">
        <v>25</v>
      </c>
      <c r="F29" s="15">
        <v>98</v>
      </c>
      <c r="G29" s="310">
        <v>3</v>
      </c>
    </row>
    <row r="30" ht="12.75" customHeight="1" spans="2:7" x14ac:dyDescent="0.25">
      <c r="B30" s="15">
        <v>21</v>
      </c>
      <c r="C30" s="310">
        <v>60.9</v>
      </c>
      <c r="D30" s="15">
        <v>60</v>
      </c>
      <c r="E30" s="310">
        <v>24.2</v>
      </c>
      <c r="F30" s="15">
        <v>99</v>
      </c>
      <c r="G30" s="310">
        <v>2.8</v>
      </c>
    </row>
    <row r="31" ht="12.75" customHeight="1" spans="2:7" x14ac:dyDescent="0.25">
      <c r="B31" s="15">
        <v>22</v>
      </c>
      <c r="C31" s="310">
        <v>59.9</v>
      </c>
      <c r="D31" s="15">
        <v>61</v>
      </c>
      <c r="E31" s="310">
        <v>23.3</v>
      </c>
      <c r="F31" s="15">
        <v>100</v>
      </c>
      <c r="G31" s="310">
        <v>2.7</v>
      </c>
    </row>
    <row r="32" ht="12.75" customHeight="1" spans="2:7" x14ac:dyDescent="0.25">
      <c r="B32" s="15">
        <v>23</v>
      </c>
      <c r="C32" s="310">
        <v>59</v>
      </c>
      <c r="D32" s="15">
        <v>62</v>
      </c>
      <c r="E32" s="310">
        <v>22.5</v>
      </c>
      <c r="F32" s="15">
        <v>101</v>
      </c>
      <c r="G32" s="310">
        <v>2.5</v>
      </c>
    </row>
    <row r="33" ht="12.75" customHeight="1" spans="2:7" x14ac:dyDescent="0.25">
      <c r="B33" s="15">
        <v>24</v>
      </c>
      <c r="C33" s="310">
        <v>58</v>
      </c>
      <c r="D33" s="15">
        <v>63</v>
      </c>
      <c r="E33" s="310">
        <v>21.6</v>
      </c>
      <c r="F33" s="15">
        <v>102</v>
      </c>
      <c r="G33" s="310">
        <v>2.3</v>
      </c>
    </row>
    <row r="34" ht="12.75" customHeight="1" spans="2:7" x14ac:dyDescent="0.25">
      <c r="B34" s="15">
        <v>25</v>
      </c>
      <c r="C34" s="310">
        <v>57</v>
      </c>
      <c r="D34" s="15">
        <v>64</v>
      </c>
      <c r="E34" s="310">
        <v>20.8</v>
      </c>
      <c r="F34" s="15">
        <v>103</v>
      </c>
      <c r="G34" s="310">
        <v>2.1</v>
      </c>
    </row>
    <row r="35" ht="12.75" customHeight="1" spans="2:7" x14ac:dyDescent="0.25">
      <c r="B35" s="15">
        <v>26</v>
      </c>
      <c r="C35" s="310">
        <v>56</v>
      </c>
      <c r="D35" s="15">
        <v>65</v>
      </c>
      <c r="E35" s="310">
        <v>20</v>
      </c>
      <c r="F35" s="15">
        <v>104</v>
      </c>
      <c r="G35" s="310">
        <v>1.9</v>
      </c>
    </row>
    <row r="36" ht="12.75" customHeight="1" spans="2:7" x14ac:dyDescent="0.25">
      <c r="B36" s="15">
        <v>27</v>
      </c>
      <c r="C36" s="310">
        <v>55.1</v>
      </c>
      <c r="D36" s="15">
        <v>66</v>
      </c>
      <c r="E36" s="310">
        <v>19.2</v>
      </c>
      <c r="F36" s="15">
        <v>105</v>
      </c>
      <c r="G36" s="310">
        <v>1.8</v>
      </c>
    </row>
    <row r="37" ht="12.75" customHeight="1" spans="2:7" x14ac:dyDescent="0.25">
      <c r="B37" s="15">
        <v>28</v>
      </c>
      <c r="C37" s="310">
        <v>54.1</v>
      </c>
      <c r="D37" s="15">
        <v>67</v>
      </c>
      <c r="E37" s="310">
        <v>18.4</v>
      </c>
      <c r="F37" s="15">
        <v>106</v>
      </c>
      <c r="G37" s="310">
        <v>1.6</v>
      </c>
    </row>
    <row r="38" ht="12.75" customHeight="1" spans="2:7" x14ac:dyDescent="0.25">
      <c r="B38" s="15">
        <v>29</v>
      </c>
      <c r="C38" s="310">
        <v>53.1</v>
      </c>
      <c r="D38" s="15">
        <v>68</v>
      </c>
      <c r="E38" s="310">
        <v>17.6</v>
      </c>
      <c r="F38" s="15">
        <v>107</v>
      </c>
      <c r="G38" s="310">
        <v>1.4</v>
      </c>
    </row>
    <row r="39" ht="12.75" customHeight="1" spans="2:7" x14ac:dyDescent="0.25">
      <c r="B39" s="15">
        <v>30</v>
      </c>
      <c r="C39" s="310">
        <v>52.2</v>
      </c>
      <c r="D39" s="15">
        <v>69</v>
      </c>
      <c r="E39" s="310">
        <v>16.8</v>
      </c>
      <c r="F39" s="15">
        <v>108</v>
      </c>
      <c r="G39" s="310">
        <v>1.3</v>
      </c>
    </row>
    <row r="40" ht="12.75" customHeight="1" spans="2:7" x14ac:dyDescent="0.25">
      <c r="B40" s="15">
        <v>31</v>
      </c>
      <c r="C40" s="310">
        <v>51.2</v>
      </c>
      <c r="D40" s="15">
        <v>70</v>
      </c>
      <c r="E40" s="310">
        <v>16</v>
      </c>
      <c r="F40" s="15">
        <v>109</v>
      </c>
      <c r="G40" s="310">
        <v>1.1</v>
      </c>
    </row>
    <row r="41" ht="12.75" customHeight="1" spans="2:7" x14ac:dyDescent="0.25">
      <c r="B41" s="15">
        <v>32</v>
      </c>
      <c r="C41" s="310">
        <v>50.2</v>
      </c>
      <c r="D41" s="15">
        <v>71</v>
      </c>
      <c r="E41" s="310">
        <v>15.3</v>
      </c>
      <c r="F41" s="15">
        <v>110</v>
      </c>
      <c r="G41" s="310">
        <v>1</v>
      </c>
    </row>
    <row r="42" ht="12.75" customHeight="1" spans="2:7" x14ac:dyDescent="0.25">
      <c r="B42" s="15">
        <v>33</v>
      </c>
      <c r="C42" s="310">
        <v>49.3</v>
      </c>
      <c r="D42" s="15">
        <v>72</v>
      </c>
      <c r="E42" s="310">
        <v>14.6</v>
      </c>
      <c r="F42" s="15">
        <v>111</v>
      </c>
      <c r="G42" s="310">
        <v>0.9</v>
      </c>
    </row>
    <row r="43" ht="12.75" customHeight="1" spans="2:7" x14ac:dyDescent="0.25">
      <c r="B43" s="15">
        <v>34</v>
      </c>
      <c r="C43" s="310">
        <v>48.3</v>
      </c>
      <c r="D43" s="15">
        <v>73</v>
      </c>
      <c r="E43" s="310">
        <v>13.9</v>
      </c>
      <c r="F43" s="15">
        <v>112</v>
      </c>
      <c r="G43" s="310">
        <v>0.8</v>
      </c>
    </row>
    <row r="44" ht="12.75" customHeight="1" spans="2:7" x14ac:dyDescent="0.25">
      <c r="B44" s="15">
        <v>35</v>
      </c>
      <c r="C44" s="310">
        <v>47.3</v>
      </c>
      <c r="D44" s="15">
        <v>74</v>
      </c>
      <c r="E44" s="310">
        <v>13.2</v>
      </c>
      <c r="F44" s="15">
        <v>113</v>
      </c>
      <c r="G44" s="310">
        <v>0.7</v>
      </c>
    </row>
    <row r="45" ht="12.75" customHeight="1" spans="2:7" x14ac:dyDescent="0.25">
      <c r="B45" s="15">
        <v>36</v>
      </c>
      <c r="C45" s="310">
        <v>46.4</v>
      </c>
      <c r="D45" s="15">
        <v>75</v>
      </c>
      <c r="E45" s="310">
        <v>12.5</v>
      </c>
      <c r="F45" s="15">
        <v>114</v>
      </c>
      <c r="G45" s="310">
        <v>0.6</v>
      </c>
    </row>
    <row r="46" ht="12.75" customHeight="1" spans="2:7" x14ac:dyDescent="0.25">
      <c r="B46" s="15">
        <v>37</v>
      </c>
      <c r="C46" s="310">
        <v>45.4</v>
      </c>
      <c r="D46" s="15">
        <v>76</v>
      </c>
      <c r="E46" s="310">
        <v>11.9</v>
      </c>
      <c r="F46" s="15">
        <v>115</v>
      </c>
      <c r="G46" s="310">
        <v>0.5</v>
      </c>
    </row>
    <row r="47" ht="12.75" customHeight="1" spans="2:7" x14ac:dyDescent="0.25">
      <c r="B47" s="15">
        <v>38</v>
      </c>
      <c r="C47" s="310">
        <v>44.4</v>
      </c>
      <c r="D47" s="15">
        <v>77</v>
      </c>
      <c r="E47" s="310">
        <v>11.2</v>
      </c>
      <c r="F47" s="15"/>
      <c r="G47" s="107"/>
    </row>
    <row r="48" ht="12.75" customHeight="1" spans="3:7" x14ac:dyDescent="0.25">
      <c r="C48" s="411"/>
      <c r="E48" s="411"/>
      <c r="G48" s="411"/>
    </row>
    <row r="49" ht="12.75" customHeight="1" spans="3:7" x14ac:dyDescent="0.25">
      <c r="C49" s="411"/>
      <c r="E49" s="411"/>
      <c r="G49" s="411"/>
    </row>
    <row r="51" ht="12.75" customHeight="1" spans="2:2" x14ac:dyDescent="0.25">
      <c r="B51" s="15" t="s">
        <v>683</v>
      </c>
    </row>
    <row r="53" ht="30" customHeight="1" spans="1:2" x14ac:dyDescent="0.25">
      <c r="A53" s="410" t="s">
        <v>684</v>
      </c>
      <c r="B53" t="s">
        <v>685</v>
      </c>
    </row>
    <row r="56" ht="12.75" customHeight="1" spans="1:1" x14ac:dyDescent="0.25">
      <c r="A56" s="16"/>
    </row>
  </sheetData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 zoomScale="100" zoomScaleNormal="100" view="normal">
      <selection activeCell="A3" sqref="A3"/>
    </sheetView>
  </sheetViews>
  <sheetFormatPr defaultRowHeight="12.75" outlineLevelRow="0" outlineLevelCol="0" x14ac:dyDescent="0" defaultColWidth="8.83203125" customHeight="1"/>
  <cols>
    <col min="1" max="1" width="9.51" customWidth="1"/>
    <col min="2" max="3" width="12.67" customWidth="1"/>
    <col min="4" max="4" width="12.83" customWidth="1"/>
    <col min="5" max="5" width="12.67" customWidth="1"/>
  </cols>
  <sheetData>
    <row r="1" ht="19.5" customHeight="1" spans="1:1" x14ac:dyDescent="0.25">
      <c r="A1" s="403" t="s">
        <v>712</v>
      </c>
    </row>
    <row r="2" ht="19.5" customHeight="1" spans="1:1" x14ac:dyDescent="0.25">
      <c r="A2" s="424" t="s">
        <v>713</v>
      </c>
    </row>
    <row r="3" ht="19.5" customHeight="1" spans="1:1" x14ac:dyDescent="0.25">
      <c r="A3" s="403"/>
    </row>
    <row r="4" ht="12.75" customHeight="1" spans="1:2" x14ac:dyDescent="0.25">
      <c r="A4" s="20" t="s">
        <v>612</v>
      </c>
      <c r="B4" s="20" t="s">
        <v>714</v>
      </c>
    </row>
    <row r="5" ht="12.75" customHeight="1" spans="1:2" x14ac:dyDescent="0.25">
      <c r="A5" s="20"/>
      <c r="B5" s="404" t="s">
        <v>715</v>
      </c>
    </row>
    <row r="6" ht="12.75" customHeight="1" spans="1:2" x14ac:dyDescent="0.25">
      <c r="A6" s="20"/>
      <c r="B6" s="16" t="s">
        <v>716</v>
      </c>
    </row>
    <row r="8" ht="42" customHeight="1" spans="1:5" x14ac:dyDescent="0.25">
      <c r="A8" s="407" t="s">
        <v>624</v>
      </c>
      <c r="B8" s="406" t="s">
        <v>717</v>
      </c>
      <c r="C8" s="406" t="s">
        <v>718</v>
      </c>
      <c r="D8" s="405" t="s">
        <v>719</v>
      </c>
      <c r="E8" s="405" t="s">
        <v>720</v>
      </c>
    </row>
    <row r="9" ht="15" customHeight="1" spans="1:5" x14ac:dyDescent="0.25">
      <c r="A9" s="408" t="s">
        <v>627</v>
      </c>
      <c r="B9" s="409">
        <f>C9/12</f>
        <v>6300</v>
      </c>
      <c r="C9" s="425">
        <v>75600</v>
      </c>
      <c r="D9" s="409">
        <f>E9/12</f>
        <v>27572.75</v>
      </c>
      <c r="E9" s="425">
        <v>330873</v>
      </c>
    </row>
    <row r="10" ht="15" customHeight="1" spans="1:5" x14ac:dyDescent="0.25">
      <c r="A10" s="408" t="s">
        <v>626</v>
      </c>
      <c r="B10" s="409">
        <f>C10/12</f>
        <v>3271</v>
      </c>
      <c r="C10" s="425">
        <v>39252</v>
      </c>
      <c r="D10" s="409">
        <f>E10/12</f>
        <v>6661.25</v>
      </c>
      <c r="E10" s="425">
        <v>79935</v>
      </c>
    </row>
    <row r="11" ht="15" customHeight="1" spans="1:5" x14ac:dyDescent="0.25">
      <c r="A11" s="408" t="s">
        <v>629</v>
      </c>
      <c r="B11" s="409">
        <f>C11/12</f>
        <v>3036.91666666667</v>
      </c>
      <c r="C11" s="425">
        <v>36443</v>
      </c>
      <c r="D11" s="409">
        <f>E11/12</f>
        <v>5986</v>
      </c>
      <c r="E11" s="425">
        <v>71832</v>
      </c>
    </row>
    <row r="12" ht="15" customHeight="1" spans="1:5" x14ac:dyDescent="0.25">
      <c r="A12" s="408" t="s">
        <v>628</v>
      </c>
      <c r="B12" s="409">
        <f>C12/12</f>
        <v>3800</v>
      </c>
      <c r="C12" s="425">
        <v>45600</v>
      </c>
      <c r="D12" s="409">
        <f>E12/12</f>
        <v>7908.33333333333</v>
      </c>
      <c r="E12" s="425">
        <v>94900</v>
      </c>
    </row>
    <row r="13" ht="15" customHeight="1" spans="1:5" x14ac:dyDescent="0.25">
      <c r="A13" s="408" t="s">
        <v>630</v>
      </c>
      <c r="B13" s="409">
        <f>C13/12</f>
        <v>4500</v>
      </c>
      <c r="C13" s="425">
        <v>54000</v>
      </c>
      <c r="D13" s="409">
        <f>E13/12</f>
        <v>9817</v>
      </c>
      <c r="E13" s="425">
        <v>117804</v>
      </c>
    </row>
    <row r="14" ht="15" customHeight="1" spans="1:5" x14ac:dyDescent="0.25">
      <c r="A14" s="408" t="s">
        <v>631</v>
      </c>
      <c r="B14" s="409">
        <f>C14/12</f>
        <v>4000</v>
      </c>
      <c r="C14" s="425">
        <v>48000</v>
      </c>
      <c r="D14" s="409">
        <f>E14/12</f>
        <v>8999.66666666667</v>
      </c>
      <c r="E14" s="425">
        <v>107996</v>
      </c>
    </row>
    <row r="15" ht="15" customHeight="1" spans="1:5" x14ac:dyDescent="0.25">
      <c r="A15" s="408" t="s">
        <v>632</v>
      </c>
      <c r="B15" s="409">
        <f>C15/12</f>
        <v>4700</v>
      </c>
      <c r="C15" s="425">
        <v>56400</v>
      </c>
      <c r="D15" s="409">
        <f>E15/12</f>
        <v>13733.1666666667</v>
      </c>
      <c r="E15" s="425">
        <v>164798</v>
      </c>
    </row>
    <row r="16" ht="15" customHeight="1" spans="1:5" x14ac:dyDescent="0.25">
      <c r="A16" s="408" t="s">
        <v>634</v>
      </c>
      <c r="B16" s="409">
        <f>C16/12</f>
        <v>9266.25</v>
      </c>
      <c r="C16" s="425">
        <v>111195</v>
      </c>
      <c r="D16" s="409">
        <f>E16/12</f>
        <v>9733.33333333333</v>
      </c>
      <c r="E16" s="425">
        <v>116800</v>
      </c>
    </row>
    <row r="17" ht="15" customHeight="1" spans="1:5" x14ac:dyDescent="0.25">
      <c r="A17" s="408" t="s">
        <v>633</v>
      </c>
      <c r="B17" s="409">
        <f>C17/12</f>
        <v>5350</v>
      </c>
      <c r="C17" s="425">
        <v>64200</v>
      </c>
      <c r="D17" s="409">
        <f>E17/12</f>
        <v>10950</v>
      </c>
      <c r="E17" s="425">
        <v>131400</v>
      </c>
    </row>
    <row r="18" ht="15" customHeight="1" spans="1:5" x14ac:dyDescent="0.25">
      <c r="A18" s="408" t="s">
        <v>635</v>
      </c>
      <c r="B18" s="409">
        <f>C18/12</f>
        <v>3500</v>
      </c>
      <c r="C18" s="425">
        <v>42000</v>
      </c>
      <c r="D18" s="409">
        <f>E18/12</f>
        <v>9064.16666666667</v>
      </c>
      <c r="E18" s="425">
        <v>108770</v>
      </c>
    </row>
    <row r="19" ht="15" customHeight="1" spans="1:5" x14ac:dyDescent="0.25">
      <c r="A19" s="408" t="s">
        <v>636</v>
      </c>
      <c r="B19" s="409">
        <f>C19/12</f>
        <v>3100</v>
      </c>
      <c r="C19" s="425">
        <v>37200</v>
      </c>
      <c r="D19" s="409">
        <f>E19/12</f>
        <v>6767.75</v>
      </c>
      <c r="E19" s="425">
        <v>81213</v>
      </c>
    </row>
    <row r="20" ht="15" customHeight="1" spans="1:5" x14ac:dyDescent="0.25">
      <c r="A20" s="408" t="s">
        <v>637</v>
      </c>
      <c r="B20" s="409">
        <f>C20/12</f>
        <v>5500</v>
      </c>
      <c r="C20" s="425">
        <v>66000</v>
      </c>
      <c r="D20" s="409">
        <f>E20/12</f>
        <v>13657.0833333333</v>
      </c>
      <c r="E20" s="425">
        <v>163885</v>
      </c>
    </row>
    <row r="21" ht="15" customHeight="1" spans="1:5" x14ac:dyDescent="0.25">
      <c r="A21" s="408" t="s">
        <v>641</v>
      </c>
      <c r="B21" s="409">
        <f>C21/12</f>
        <v>3846.5</v>
      </c>
      <c r="C21" s="425">
        <v>46158</v>
      </c>
      <c r="D21" s="409">
        <f>E21/12</f>
        <v>6478.75</v>
      </c>
      <c r="E21" s="425">
        <v>77745</v>
      </c>
    </row>
    <row r="22" ht="15" customHeight="1" spans="1:5" x14ac:dyDescent="0.25">
      <c r="A22" s="408" t="s">
        <v>638</v>
      </c>
      <c r="B22" s="409">
        <f>C22/12</f>
        <v>3475</v>
      </c>
      <c r="C22" s="425">
        <v>41700</v>
      </c>
      <c r="D22" s="409">
        <f>E22/12</f>
        <v>8045.25</v>
      </c>
      <c r="E22" s="425">
        <v>96543</v>
      </c>
    </row>
    <row r="23" ht="15" customHeight="1" spans="1:5" x14ac:dyDescent="0.25">
      <c r="A23" s="408" t="s">
        <v>639</v>
      </c>
      <c r="B23" s="409">
        <f>C23/12</f>
        <v>4030</v>
      </c>
      <c r="C23" s="425">
        <v>48360</v>
      </c>
      <c r="D23" s="409">
        <f>E23/12</f>
        <v>6752.5</v>
      </c>
      <c r="E23" s="425">
        <v>81030</v>
      </c>
    </row>
    <row r="24" ht="15" customHeight="1" spans="1:5" x14ac:dyDescent="0.25">
      <c r="A24" s="408" t="s">
        <v>640</v>
      </c>
      <c r="B24" s="409">
        <f>C24/12</f>
        <v>4385</v>
      </c>
      <c r="C24" s="425">
        <v>52620</v>
      </c>
      <c r="D24" s="409">
        <f>E24/12</f>
        <v>8242.91666666667</v>
      </c>
      <c r="E24" s="425">
        <v>98915</v>
      </c>
    </row>
    <row r="25" ht="15" customHeight="1" spans="1:5" x14ac:dyDescent="0.25">
      <c r="A25" s="408" t="s">
        <v>642</v>
      </c>
      <c r="B25" s="409">
        <f>C25/12</f>
        <v>4556.25</v>
      </c>
      <c r="C25" s="425">
        <v>54675</v>
      </c>
      <c r="D25" s="409">
        <f>E25/12</f>
        <v>5864.91666666667</v>
      </c>
      <c r="E25" s="425">
        <v>70379</v>
      </c>
    </row>
    <row r="26" ht="15" customHeight="1" spans="1:5" x14ac:dyDescent="0.25">
      <c r="A26" s="408" t="s">
        <v>643</v>
      </c>
      <c r="B26" s="409">
        <f>C26/12</f>
        <v>3520</v>
      </c>
      <c r="C26" s="425">
        <v>42240</v>
      </c>
      <c r="D26" s="409">
        <f>E26/12</f>
        <v>7604.16666666667</v>
      </c>
      <c r="E26" s="425">
        <v>91250</v>
      </c>
    </row>
    <row r="27" ht="15" customHeight="1" spans="1:5" x14ac:dyDescent="0.25">
      <c r="A27" s="408" t="s">
        <v>644</v>
      </c>
      <c r="B27" s="409">
        <f>C27/12</f>
        <v>3550</v>
      </c>
      <c r="C27" s="425">
        <v>42600</v>
      </c>
      <c r="D27" s="409">
        <f>E27/12</f>
        <v>5541.91666666667</v>
      </c>
      <c r="E27" s="425">
        <v>66503</v>
      </c>
    </row>
    <row r="28" ht="15" customHeight="1" spans="1:5" x14ac:dyDescent="0.25">
      <c r="A28" s="408" t="s">
        <v>647</v>
      </c>
      <c r="B28" s="409">
        <f>C28/12</f>
        <v>5495</v>
      </c>
      <c r="C28" s="425">
        <v>65940</v>
      </c>
      <c r="D28" s="409">
        <f>E28/12</f>
        <v>12775</v>
      </c>
      <c r="E28" s="425">
        <v>153300</v>
      </c>
    </row>
    <row r="29" ht="15" customHeight="1" spans="1:5" x14ac:dyDescent="0.25">
      <c r="A29" s="408" t="s">
        <v>646</v>
      </c>
      <c r="B29" s="409">
        <f>C29/12</f>
        <v>4672.5</v>
      </c>
      <c r="C29" s="425">
        <v>56070</v>
      </c>
      <c r="D29" s="409">
        <f>E29/12</f>
        <v>9672.5</v>
      </c>
      <c r="E29" s="425">
        <v>116070</v>
      </c>
    </row>
    <row r="30" ht="15" customHeight="1" spans="1:5" x14ac:dyDescent="0.25">
      <c r="A30" s="408" t="s">
        <v>645</v>
      </c>
      <c r="B30" s="409">
        <f>C30/12</f>
        <v>4950</v>
      </c>
      <c r="C30" s="425">
        <v>59400</v>
      </c>
      <c r="D30" s="409">
        <f>E30/12</f>
        <v>10098.3333333333</v>
      </c>
      <c r="E30" s="425">
        <v>121180</v>
      </c>
    </row>
    <row r="31" ht="15" customHeight="1" spans="1:5" x14ac:dyDescent="0.25">
      <c r="A31" s="408" t="s">
        <v>648</v>
      </c>
      <c r="B31" s="409">
        <f>C31/12</f>
        <v>3850</v>
      </c>
      <c r="C31" s="425">
        <v>46200</v>
      </c>
      <c r="D31" s="409">
        <f>E31/12</f>
        <v>9125</v>
      </c>
      <c r="E31" s="425">
        <v>109500</v>
      </c>
    </row>
    <row r="32" ht="15" customHeight="1" spans="1:5" x14ac:dyDescent="0.25">
      <c r="A32" s="408" t="s">
        <v>649</v>
      </c>
      <c r="B32" s="409">
        <f>C32/12</f>
        <v>4000</v>
      </c>
      <c r="C32" s="425">
        <v>48000</v>
      </c>
      <c r="D32" s="409">
        <f>E32/12</f>
        <v>10188.3333333333</v>
      </c>
      <c r="E32" s="425">
        <v>122260</v>
      </c>
    </row>
    <row r="33" ht="15" customHeight="1" spans="1:5" x14ac:dyDescent="0.25">
      <c r="A33" s="408" t="s">
        <v>651</v>
      </c>
      <c r="B33" s="409">
        <f>C33/12</f>
        <v>2844</v>
      </c>
      <c r="C33" s="425">
        <v>34128</v>
      </c>
      <c r="D33" s="409">
        <f>E33/12</f>
        <v>5543.41666666667</v>
      </c>
      <c r="E33" s="425">
        <v>66521</v>
      </c>
    </row>
    <row r="34" ht="15" customHeight="1" spans="1:5" x14ac:dyDescent="0.25">
      <c r="A34" s="408" t="s">
        <v>650</v>
      </c>
      <c r="B34" s="409">
        <f>C34/12</f>
        <v>3492.5</v>
      </c>
      <c r="C34" s="425">
        <v>41910</v>
      </c>
      <c r="D34" s="409">
        <f>E34/12</f>
        <v>7087.08333333333</v>
      </c>
      <c r="E34" s="425">
        <v>85045</v>
      </c>
    </row>
    <row r="35" ht="15" customHeight="1" spans="1:5" x14ac:dyDescent="0.25">
      <c r="A35" s="408" t="s">
        <v>652</v>
      </c>
      <c r="B35" s="409">
        <f>C35/12</f>
        <v>3919</v>
      </c>
      <c r="C35" s="425">
        <v>47028</v>
      </c>
      <c r="D35" s="409">
        <f>E35/12</f>
        <v>7309.75</v>
      </c>
      <c r="E35" s="425">
        <v>87717</v>
      </c>
    </row>
    <row r="36" ht="15" customHeight="1" spans="1:5" x14ac:dyDescent="0.25">
      <c r="A36" s="408" t="s">
        <v>659</v>
      </c>
      <c r="B36" s="409">
        <f>C36/12</f>
        <v>3693.16666666667</v>
      </c>
      <c r="C36" s="425">
        <v>44318</v>
      </c>
      <c r="D36" s="409">
        <f>E36/12</f>
        <v>7710.66666666667</v>
      </c>
      <c r="E36" s="425">
        <v>92528</v>
      </c>
    </row>
    <row r="37" ht="15" customHeight="1" spans="1:5" x14ac:dyDescent="0.25">
      <c r="A37" s="408" t="s">
        <v>660</v>
      </c>
      <c r="B37" s="409">
        <f>C37/12</f>
        <v>3315</v>
      </c>
      <c r="C37" s="425">
        <v>39780</v>
      </c>
      <c r="D37" s="409">
        <f>E37/12</f>
        <v>11689.75</v>
      </c>
      <c r="E37" s="425">
        <v>140277</v>
      </c>
    </row>
    <row r="38" ht="15" customHeight="1" spans="1:5" x14ac:dyDescent="0.25">
      <c r="A38" s="408" t="s">
        <v>653</v>
      </c>
      <c r="B38" s="409">
        <f>C38/12</f>
        <v>3844.25</v>
      </c>
      <c r="C38" s="425">
        <v>46131</v>
      </c>
      <c r="D38" s="409">
        <f>E38/12</f>
        <v>7265.91666666667</v>
      </c>
      <c r="E38" s="425">
        <v>87191</v>
      </c>
    </row>
    <row r="39" ht="15" customHeight="1" spans="1:5" x14ac:dyDescent="0.25">
      <c r="A39" s="408" t="s">
        <v>655</v>
      </c>
      <c r="B39" s="409">
        <f>C39/12</f>
        <v>4675</v>
      </c>
      <c r="C39" s="425">
        <v>56100</v>
      </c>
      <c r="D39" s="409">
        <f>E39/12</f>
        <v>11102.0833333333</v>
      </c>
      <c r="E39" s="425">
        <v>133225</v>
      </c>
    </row>
    <row r="40" ht="15" customHeight="1" spans="1:5" x14ac:dyDescent="0.25">
      <c r="A40" s="408" t="s">
        <v>656</v>
      </c>
      <c r="B40" s="409">
        <f>C40/12</f>
        <v>6065</v>
      </c>
      <c r="C40" s="425">
        <v>72780</v>
      </c>
      <c r="D40" s="409">
        <f>E40/12</f>
        <v>11862.5</v>
      </c>
      <c r="E40" s="425">
        <v>142350</v>
      </c>
    </row>
    <row r="41" ht="15" customHeight="1" spans="1:5" x14ac:dyDescent="0.25">
      <c r="A41" s="408" t="s">
        <v>657</v>
      </c>
      <c r="B41" s="409">
        <f>C41/12</f>
        <v>4250</v>
      </c>
      <c r="C41" s="425">
        <v>51000</v>
      </c>
      <c r="D41" s="409">
        <f>E41/12</f>
        <v>7619.41666666667</v>
      </c>
      <c r="E41" s="425">
        <v>91433</v>
      </c>
    </row>
    <row r="42" ht="15" customHeight="1" spans="1:5" x14ac:dyDescent="0.25">
      <c r="A42" s="408" t="s">
        <v>654</v>
      </c>
      <c r="B42" s="409">
        <f>C42/12</f>
        <v>3500</v>
      </c>
      <c r="C42" s="425">
        <v>42000</v>
      </c>
      <c r="D42" s="409">
        <f>E42/12</f>
        <v>9261.91666666667</v>
      </c>
      <c r="E42" s="425">
        <v>111143</v>
      </c>
    </row>
    <row r="43" ht="15" customHeight="1" spans="1:5" x14ac:dyDescent="0.25">
      <c r="A43" s="408" t="s">
        <v>658</v>
      </c>
      <c r="B43" s="409">
        <f>C43/12</f>
        <v>4185</v>
      </c>
      <c r="C43" s="425">
        <v>50220</v>
      </c>
      <c r="D43" s="409">
        <f>E43/12</f>
        <v>12189.5</v>
      </c>
      <c r="E43" s="425">
        <v>146274</v>
      </c>
    </row>
    <row r="44" ht="15" customHeight="1" spans="1:5" x14ac:dyDescent="0.25">
      <c r="A44" s="408" t="s">
        <v>661</v>
      </c>
      <c r="B44" s="409">
        <f>C44/12</f>
        <v>4278</v>
      </c>
      <c r="C44" s="425">
        <v>51336</v>
      </c>
      <c r="D44" s="409">
        <f>E44/12</f>
        <v>7908.33333333333</v>
      </c>
      <c r="E44" s="425">
        <v>94900</v>
      </c>
    </row>
    <row r="45" ht="15" customHeight="1" spans="1:5" x14ac:dyDescent="0.25">
      <c r="A45" s="408" t="s">
        <v>662</v>
      </c>
      <c r="B45" s="409">
        <f>C45/12</f>
        <v>3325</v>
      </c>
      <c r="C45" s="425">
        <v>39900</v>
      </c>
      <c r="D45" s="409">
        <f>E45/12</f>
        <v>5292.5</v>
      </c>
      <c r="E45" s="425">
        <v>63510</v>
      </c>
    </row>
    <row r="46" ht="15" customHeight="1" spans="1:5" x14ac:dyDescent="0.25">
      <c r="A46" s="408" t="s">
        <v>663</v>
      </c>
      <c r="B46" s="409">
        <f>C46/12</f>
        <v>4592.5</v>
      </c>
      <c r="C46" s="425">
        <v>55110</v>
      </c>
      <c r="D46" s="409">
        <f>E46/12</f>
        <v>9976.66666666667</v>
      </c>
      <c r="E46" s="425">
        <v>119720</v>
      </c>
    </row>
    <row r="47" ht="15" customHeight="1" spans="1:5" x14ac:dyDescent="0.25">
      <c r="A47" s="408" t="s">
        <v>664</v>
      </c>
      <c r="B47" s="409">
        <f>C47/12</f>
        <v>3750</v>
      </c>
      <c r="C47" s="425">
        <v>45000</v>
      </c>
      <c r="D47" s="409">
        <f>E47/12</f>
        <v>10113.5833333333</v>
      </c>
      <c r="E47" s="425">
        <v>121363</v>
      </c>
    </row>
    <row r="48" ht="15" customHeight="1" spans="1:5" x14ac:dyDescent="0.25">
      <c r="A48" s="408" t="s">
        <v>665</v>
      </c>
      <c r="B48" s="409">
        <f>C48/12</f>
        <v>4350</v>
      </c>
      <c r="C48" s="425">
        <v>52200</v>
      </c>
      <c r="D48" s="409">
        <f>E48/12</f>
        <v>9733.33333333333</v>
      </c>
      <c r="E48" s="425">
        <v>116800</v>
      </c>
    </row>
    <row r="49" ht="15" customHeight="1" spans="1:5" x14ac:dyDescent="0.25">
      <c r="A49" s="408" t="s">
        <v>666</v>
      </c>
      <c r="B49" s="409">
        <f>C49/12</f>
        <v>3500</v>
      </c>
      <c r="C49" s="425">
        <v>42000</v>
      </c>
      <c r="D49" s="409">
        <f>E49/12</f>
        <v>7208.75</v>
      </c>
      <c r="E49" s="425">
        <v>86505</v>
      </c>
    </row>
    <row r="50" ht="15" customHeight="1" spans="1:5" x14ac:dyDescent="0.25">
      <c r="A50" s="408" t="s">
        <v>667</v>
      </c>
      <c r="B50" s="409">
        <f>C50/12</f>
        <v>3500</v>
      </c>
      <c r="C50" s="425">
        <v>42000</v>
      </c>
      <c r="D50" s="409">
        <f>E50/12</f>
        <v>7071.91666666667</v>
      </c>
      <c r="E50" s="425">
        <v>84863</v>
      </c>
    </row>
    <row r="51" ht="15" customHeight="1" spans="1:5" x14ac:dyDescent="0.25">
      <c r="A51" s="408" t="s">
        <v>668</v>
      </c>
      <c r="B51" s="409">
        <f>C51/12</f>
        <v>3920</v>
      </c>
      <c r="C51" s="425">
        <v>47040</v>
      </c>
      <c r="D51" s="409">
        <f>E51/12</f>
        <v>6843.75</v>
      </c>
      <c r="E51" s="425">
        <v>82125</v>
      </c>
    </row>
    <row r="52" ht="15" customHeight="1" spans="1:5" x14ac:dyDescent="0.25">
      <c r="A52" s="408" t="s">
        <v>669</v>
      </c>
      <c r="B52" s="409">
        <f>C52/12</f>
        <v>3795</v>
      </c>
      <c r="C52" s="425">
        <v>45540</v>
      </c>
      <c r="D52" s="409">
        <f>E52/12</f>
        <v>6539.58333333333</v>
      </c>
      <c r="E52" s="425">
        <v>78475</v>
      </c>
    </row>
    <row r="53" ht="15" customHeight="1" spans="1:5" x14ac:dyDescent="0.25">
      <c r="A53" s="408" t="s">
        <v>670</v>
      </c>
      <c r="B53" s="409">
        <f>C53/12</f>
        <v>3350</v>
      </c>
      <c r="C53" s="425">
        <v>40200</v>
      </c>
      <c r="D53" s="409">
        <f>E53/12</f>
        <v>7604.16666666667</v>
      </c>
      <c r="E53" s="425">
        <v>91250</v>
      </c>
    </row>
    <row r="54" ht="15" customHeight="1" spans="1:5" x14ac:dyDescent="0.25">
      <c r="A54" s="408" t="s">
        <v>672</v>
      </c>
      <c r="B54" s="409">
        <f>C54/12</f>
        <v>4451.25</v>
      </c>
      <c r="C54" s="425">
        <v>53415</v>
      </c>
      <c r="D54" s="409">
        <f>E54/12</f>
        <v>8516.66666666667</v>
      </c>
      <c r="E54" s="425">
        <v>102200</v>
      </c>
    </row>
    <row r="55" ht="15" customHeight="1" spans="1:5" x14ac:dyDescent="0.25">
      <c r="A55" s="408" t="s">
        <v>671</v>
      </c>
      <c r="B55" s="409">
        <f>C55/12</f>
        <v>4500</v>
      </c>
      <c r="C55" s="425">
        <v>54000</v>
      </c>
      <c r="D55" s="409">
        <f>E55/12</f>
        <v>9900.66666666667</v>
      </c>
      <c r="E55" s="425">
        <v>118808</v>
      </c>
    </row>
    <row r="56" ht="15" customHeight="1" spans="1:5" x14ac:dyDescent="0.25">
      <c r="A56" s="408" t="s">
        <v>673</v>
      </c>
      <c r="B56" s="409">
        <f>C56/12</f>
        <v>5135</v>
      </c>
      <c r="C56" s="425">
        <v>61620</v>
      </c>
      <c r="D56" s="409">
        <f>E56/12</f>
        <v>9718.16666666667</v>
      </c>
      <c r="E56" s="425">
        <v>116618</v>
      </c>
    </row>
    <row r="57" ht="15" customHeight="1" spans="1:5" x14ac:dyDescent="0.25">
      <c r="A57" s="408" t="s">
        <v>675</v>
      </c>
      <c r="B57" s="409">
        <f>C57/12</f>
        <v>4300</v>
      </c>
      <c r="C57" s="425">
        <v>51600</v>
      </c>
      <c r="D57" s="409">
        <f>E57/12</f>
        <v>9345.5</v>
      </c>
      <c r="E57" s="425">
        <v>112146</v>
      </c>
    </row>
    <row r="58" ht="15" customHeight="1" spans="1:5" x14ac:dyDescent="0.25">
      <c r="A58" s="408" t="s">
        <v>674</v>
      </c>
      <c r="B58" s="409">
        <f>C58/12</f>
        <v>3618.75</v>
      </c>
      <c r="C58" s="425">
        <v>43425</v>
      </c>
      <c r="D58" s="409">
        <f>E58/12</f>
        <v>11071.6666666667</v>
      </c>
      <c r="E58" s="425">
        <v>132860</v>
      </c>
    </row>
    <row r="59" ht="15" customHeight="1" spans="1:5" x14ac:dyDescent="0.25">
      <c r="A59" s="408" t="s">
        <v>676</v>
      </c>
      <c r="B59" s="409">
        <f>C59/12</f>
        <v>4235</v>
      </c>
      <c r="C59" s="425">
        <v>50820</v>
      </c>
      <c r="D59" s="409">
        <f>E59/12</f>
        <v>7543.33333333333</v>
      </c>
      <c r="E59" s="425">
        <v>90520</v>
      </c>
    </row>
    <row r="61" ht="15" customHeight="1" spans="1:5" x14ac:dyDescent="0.25">
      <c r="A61" s="408" t="s">
        <v>721</v>
      </c>
      <c r="B61" s="426">
        <v>3750</v>
      </c>
      <c r="C61" s="425">
        <v>48000</v>
      </c>
      <c r="D61" s="409">
        <v>8121</v>
      </c>
      <c r="E61" s="425">
        <v>100375</v>
      </c>
    </row>
    <row r="64" ht="18.75" customHeight="1" spans="1:1" x14ac:dyDescent="0.25">
      <c r="A64" s="427" t="s">
        <v>722</v>
      </c>
    </row>
    <row r="65" ht="12.75" customHeight="1" spans="1:3" x14ac:dyDescent="0.25">
      <c r="A65" s="425">
        <v>2018</v>
      </c>
      <c r="B65" s="428" t="s">
        <v>723</v>
      </c>
      <c r="C65" s="425"/>
    </row>
    <row r="66" ht="12.75" customHeight="1" spans="1:3" x14ac:dyDescent="0.25">
      <c r="A66" s="425">
        <f>E61</f>
        <v>100375</v>
      </c>
      <c r="B66" s="428" t="s">
        <v>724</v>
      </c>
      <c r="C66" s="425"/>
    </row>
    <row r="67" ht="12.75" customHeight="1" spans="1:2" x14ac:dyDescent="0.25">
      <c r="A67" s="425">
        <f>A66/365</f>
        <v>275</v>
      </c>
      <c r="B67" s="428" t="s">
        <v>725</v>
      </c>
    </row>
    <row r="68" ht="12.75" customHeight="1" spans="1:2" x14ac:dyDescent="0.25">
      <c r="A68" s="429">
        <v>0.0364</v>
      </c>
      <c r="B68" s="428" t="s">
        <v>726</v>
      </c>
    </row>
    <row r="69" ht="12.75" customHeight="1" spans="1:2" x14ac:dyDescent="0.25">
      <c r="A69" s="425">
        <f>A65+15</f>
        <v>2033</v>
      </c>
      <c r="B69" s="428" t="s">
        <v>727</v>
      </c>
    </row>
    <row r="70" ht="12.75" customHeight="1" spans="1:2" x14ac:dyDescent="0.25">
      <c r="A70" s="425">
        <f>A66*((1+A68)^15)</f>
        <v>171607.64165548</v>
      </c>
      <c r="B70" s="428" t="s">
        <v>728</v>
      </c>
    </row>
    <row r="71" ht="12.75" customHeight="1" spans="1:2" x14ac:dyDescent="0.25">
      <c r="A71" s="425">
        <f>A70/365</f>
        <v>470.157922343781</v>
      </c>
      <c r="B71" s="428" t="s">
        <v>729</v>
      </c>
    </row>
  </sheetData>
  <hyperlinks>
    <hyperlink ref="B5" r:id="rId1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2022-2026 IRS Updates</vt:lpstr>
      <vt:lpstr>General</vt:lpstr>
      <vt:lpstr>Tax Values</vt:lpstr>
      <vt:lpstr>Tax Value Calcs</vt:lpstr>
      <vt:lpstr>Tax Brackets</vt:lpstr>
      <vt:lpstr>Tax Bracket Calcs</vt:lpstr>
      <vt:lpstr>Tax Bracket (FUTURE)</vt:lpstr>
      <vt:lpstr>Cap Gains</vt:lpstr>
      <vt:lpstr>Sheet2</vt:lpstr>
      <vt:lpstr>Estate, Gifts, IRA</vt:lpstr>
      <vt:lpstr>CPI-U &amp; C-CPI-U Calcs</vt:lpstr>
      <vt:lpstr>401(k), Simple, HSA</vt:lpstr>
      <vt:lpstr>CPI-W Calcs</vt:lpstr>
      <vt:lpstr>Est. Soc Sec</vt:lpstr>
      <vt:lpstr>Est. SS Tables</vt:lpstr>
      <vt:lpstr>Cost of Edu</vt:lpstr>
      <vt:lpstr>529 Limits</vt:lpstr>
      <vt:lpstr>Mortality Tables</vt:lpstr>
      <vt:lpstr>Uniform Lifetime</vt:lpstr>
      <vt:lpstr>Actuarial Table V</vt:lpstr>
      <vt:lpstr>OBSOLETE-LTC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paulg</dc:creator>
  <dc:title/>
  <dc:subject/>
  <dc:description/>
  <dc:language>en-US</dc:language>
  <cp:lastModifiedBy>dan mueller</cp:lastModifiedBy>
  <cp:lastPrinted>2009-02-12T18:00:57Z</cp:lastPrinted>
  <dcterms:created xsi:type="dcterms:W3CDTF">2005-12-06T14:45:05Z</dcterms:created>
  <dcterms:modified xsi:type="dcterms:W3CDTF">2026-04-16T13:51:20Z</dcterms:modified>
</cp:coreProperties>
</file>